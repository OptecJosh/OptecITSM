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S26 Reading-pane sections" sheetId="3" state="visible" r:id="rId3"/>
    <sheet name="S27 Automatic time tracking" sheetId="4" state="visible" r:id="rId4"/>
    <sheet name="S28 Category hierarchy per tick" sheetId="5" state="visible" r:id="rId5"/>
    <sheet name="S29 Customer contacts" sheetId="6" state="visible" r:id="rId6"/>
    <sheet name="S30 Portal users linked to cust" sheetId="7" state="visible" r:id="rId7"/>
    <sheet name="S31 Knowledge KPIs computed" sheetId="8" state="visible" r:id="rId8"/>
    <sheet name="S32 Deploy, schema and regressi" sheetId="9" state="visible" r:id="rId9"/>
  </sheets>
  <definedNames>
    <definedName name="_xlnm._FilterDatabase" localSheetId="2" hidden="1">'S26 Reading-pane sections'!$A$1:$L$13</definedName>
    <definedName name="_xlnm._FilterDatabase" localSheetId="3" hidden="1">'S27 Automatic time tracking'!$A$1:$L$24</definedName>
    <definedName name="_xlnm._FilterDatabase" localSheetId="4" hidden="1">'S28 Category hierarchy per tick'!$A$1:$L$25</definedName>
    <definedName name="_xlnm._FilterDatabase" localSheetId="5" hidden="1">'S29 Customer contacts'!$A$1:$L$24</definedName>
    <definedName name="_xlnm._FilterDatabase" localSheetId="6" hidden="1">'S30 Portal users linked to cust'!$A$1:$L$19</definedName>
    <definedName name="_xlnm._FilterDatabase" localSheetId="7" hidden="1">'S31 Knowledge KPIs computed'!$A$1:$L$7</definedName>
    <definedName name="_xlnm._FilterDatabase" localSheetId="8" hidden="1">'S32 Deploy, schema and regressi'!$A$1:$L$10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7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FreeITSM test plan - new suites</t>
        </is>
      </c>
    </row>
    <row r="2">
      <c r="A2" s="2" t="inlineStr"/>
    </row>
    <row r="3">
      <c r="A3" s="3" t="inlineStr">
        <is>
          <t>These are the NEW suites for the work delivered in phases 12a, 12b, 12c, 13a, 13b and 14a.</t>
        </is>
      </c>
    </row>
    <row r="4">
      <c r="A4" s="3" t="inlineStr">
        <is>
          <t>They are supplied as a separate workbook because freeitsm-test-plan.xlsx is not held in the</t>
        </is>
      </c>
    </row>
    <row r="5">
      <c r="A5" s="3" t="inlineStr">
        <is>
          <t>repository and was not available to this session, so the existing suites could not be edited</t>
        </is>
      </c>
    </row>
    <row r="6">
      <c r="A6" s="3" t="inlineStr">
        <is>
          <t>in place. Paste these sheets into the master workbook as new tabs, or append the rows to the</t>
        </is>
      </c>
    </row>
    <row r="7">
      <c r="A7" s="3" t="inlineStr">
        <is>
          <t>existing case list.</t>
        </is>
      </c>
    </row>
    <row r="8">
      <c r="A8" s="2" t="inlineStr"/>
    </row>
    <row r="9">
      <c r="A9" s="4" t="inlineStr">
        <is>
          <t>BEFORE MERGING - two things to align:</t>
        </is>
      </c>
    </row>
    <row r="10">
      <c r="A10" s="3" t="inlineStr">
        <is>
          <t>1. Suite numbering starts at 26, assuming the master ends at 25. Renumber if that is wrong.</t>
        </is>
      </c>
    </row>
    <row r="11">
      <c r="A11" s="3" t="inlineStr">
        <is>
          <t>2. Case IDs use the form TC-26-001. Change the prefix to match the master's convention.</t>
        </is>
      </c>
    </row>
    <row r="12">
      <c r="A12" s="2" t="inlineStr"/>
    </row>
    <row r="13">
      <c r="A13" s="3" t="inlineStr">
        <is>
          <t>Counts are on the Summary sheet and are computed, so they stay right if you add or remove rows.</t>
        </is>
      </c>
    </row>
    <row r="14">
      <c r="A14" s="2" t="inlineStr"/>
    </row>
    <row r="15">
      <c r="A15" s="4" t="inlineStr">
        <is>
          <t>How to use</t>
        </is>
      </c>
    </row>
    <row r="16">
      <c r="A16" s="3" t="inlineStr">
        <is>
          <t>Deploy, run Database Verify, then load database/demo-csv/ so there is data to test against.</t>
        </is>
      </c>
    </row>
    <row r="17">
      <c r="A17" s="3" t="inlineStr">
        <is>
          <t>Suite 32 is the deploy and regression pass - run it first, since the rest assume a good deploy.</t>
        </is>
      </c>
    </row>
    <row r="18">
      <c r="A18" s="3" t="inlineStr">
        <is>
          <t>Cases marked REGRESSION in their expected result cover a defect that was found and fixed;</t>
        </is>
      </c>
    </row>
    <row r="19">
      <c r="A19" s="3" t="inlineStr">
        <is>
          <t>those are the ones worth keeping in every future run.</t>
        </is>
      </c>
    </row>
    <row r="20">
      <c r="A20" s="2" t="inlineStr"/>
    </row>
    <row r="21">
      <c r="A21" s="5" t="inlineStr">
        <is>
          <t>Fill in Result (Pass / Fail / Blocked / N-A), Tester and Notes as you go.</t>
        </is>
      </c>
    </row>
    <row r="22">
      <c r="A22" s="2" t="inlineStr"/>
    </row>
    <row r="23">
      <c r="A23" s="4" t="inlineStr">
        <is>
          <t>A note on the Summary sheet</t>
        </is>
      </c>
    </row>
    <row r="24">
      <c r="A24" s="3" t="inlineStr">
        <is>
          <t>Its counts are live formulas (COUNTA / COUNTIF) over the suite sheets. They were written</t>
        </is>
      </c>
    </row>
    <row r="25">
      <c r="A25" s="3" t="inlineStr">
        <is>
          <t>without cached values, so Excel computes them the moment you open the file. If a preview tool</t>
        </is>
      </c>
    </row>
    <row r="26">
      <c r="A26" s="3" t="inlineStr">
        <is>
          <t>shows the Summary as blank or zero, open the workbook in Excel and the figures appear.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6" t="inlineStr">
        <is>
          <t>New suites - summary</t>
        </is>
      </c>
    </row>
    <row r="3">
      <c r="A3" s="7" t="inlineStr">
        <is>
          <t>Suite</t>
        </is>
      </c>
      <c r="B3" s="7" t="inlineStr">
        <is>
          <t>Name</t>
        </is>
      </c>
      <c r="C3" s="7" t="inlineStr">
        <is>
          <t>Phase</t>
        </is>
      </c>
      <c r="D3" s="7" t="inlineStr">
        <is>
          <t>Cases</t>
        </is>
      </c>
      <c r="E3" s="7" t="inlineStr">
        <is>
          <t>High</t>
        </is>
      </c>
      <c r="F3" s="7" t="inlineStr">
        <is>
          <t>Pass</t>
        </is>
      </c>
      <c r="G3" s="7" t="inlineStr">
        <is>
          <t>Fail</t>
        </is>
      </c>
      <c r="H3" s="7" t="inlineStr">
        <is>
          <t>Blocked</t>
        </is>
      </c>
    </row>
    <row r="4">
      <c r="A4" s="8" t="n">
        <v>26</v>
      </c>
      <c r="B4" s="8" t="inlineStr">
        <is>
          <t>Reading-pane sections</t>
        </is>
      </c>
      <c r="C4" s="8" t="inlineStr">
        <is>
          <t>12a</t>
        </is>
      </c>
      <c r="D4" s="8">
        <f>COUNTA('S26 Reading-pane sections'!$A$2:$A$200)</f>
        <v/>
      </c>
      <c r="E4" s="8">
        <f>COUNTIF('S26 Reading-pane sections'!$H$2:$H$200,"High")</f>
        <v/>
      </c>
      <c r="F4" s="8">
        <f>COUNTIF('S26 Reading-pane sections'!$J$2:$J$200,"Pass")</f>
        <v/>
      </c>
      <c r="G4" s="8">
        <f>COUNTIF('S26 Reading-pane sections'!$J$2:$J$200,"Fail")</f>
        <v/>
      </c>
      <c r="H4" s="8">
        <f>COUNTIF('S26 Reading-pane sections'!$J$2:$J$200,"Blocked")</f>
        <v/>
      </c>
    </row>
    <row r="5">
      <c r="A5" s="8" t="n">
        <v>27</v>
      </c>
      <c r="B5" s="8" t="inlineStr">
        <is>
          <t>Automatic time tracking</t>
        </is>
      </c>
      <c r="C5" s="8" t="inlineStr">
        <is>
          <t>12b</t>
        </is>
      </c>
      <c r="D5" s="8">
        <f>COUNTA('S27 Automatic time tracking'!$A$2:$A$200)</f>
        <v/>
      </c>
      <c r="E5" s="8">
        <f>COUNTIF('S27 Automatic time tracking'!$H$2:$H$200,"High")</f>
        <v/>
      </c>
      <c r="F5" s="8">
        <f>COUNTIF('S27 Automatic time tracking'!$J$2:$J$200,"Pass")</f>
        <v/>
      </c>
      <c r="G5" s="8">
        <f>COUNTIF('S27 Automatic time tracking'!$J$2:$J$200,"Fail")</f>
        <v/>
      </c>
      <c r="H5" s="8">
        <f>COUNTIF('S27 Automatic time tracking'!$J$2:$J$200,"Blocked")</f>
        <v/>
      </c>
    </row>
    <row r="6">
      <c r="A6" s="8" t="n">
        <v>28</v>
      </c>
      <c r="B6" s="8" t="inlineStr">
        <is>
          <t>Category hierarchy per ticket type</t>
        </is>
      </c>
      <c r="C6" s="8" t="inlineStr">
        <is>
          <t>12c</t>
        </is>
      </c>
      <c r="D6" s="8">
        <f>COUNTA('S28 Category hierarchy per tick'!$A$2:$A$200)</f>
        <v/>
      </c>
      <c r="E6" s="8">
        <f>COUNTIF('S28 Category hierarchy per tick'!$H$2:$H$200,"High")</f>
        <v/>
      </c>
      <c r="F6" s="8">
        <f>COUNTIF('S28 Category hierarchy per tick'!$J$2:$J$200,"Pass")</f>
        <v/>
      </c>
      <c r="G6" s="8">
        <f>COUNTIF('S28 Category hierarchy per tick'!$J$2:$J$200,"Fail")</f>
        <v/>
      </c>
      <c r="H6" s="8">
        <f>COUNTIF('S28 Category hierarchy per tick'!$J$2:$J$200,"Blocked")</f>
        <v/>
      </c>
    </row>
    <row r="7">
      <c r="A7" s="8" t="n">
        <v>29</v>
      </c>
      <c r="B7" s="8" t="inlineStr">
        <is>
          <t>Customer contacts</t>
        </is>
      </c>
      <c r="C7" s="8" t="inlineStr">
        <is>
          <t>13a</t>
        </is>
      </c>
      <c r="D7" s="8">
        <f>COUNTA('S29 Customer contacts'!$A$2:$A$200)</f>
        <v/>
      </c>
      <c r="E7" s="8">
        <f>COUNTIF('S29 Customer contacts'!$H$2:$H$200,"High")</f>
        <v/>
      </c>
      <c r="F7" s="8">
        <f>COUNTIF('S29 Customer contacts'!$J$2:$J$200,"Pass")</f>
        <v/>
      </c>
      <c r="G7" s="8">
        <f>COUNTIF('S29 Customer contacts'!$J$2:$J$200,"Fail")</f>
        <v/>
      </c>
      <c r="H7" s="8">
        <f>COUNTIF('S29 Customer contacts'!$J$2:$J$200,"Blocked")</f>
        <v/>
      </c>
    </row>
    <row r="8">
      <c r="A8" s="8" t="n">
        <v>30</v>
      </c>
      <c r="B8" s="8" t="inlineStr">
        <is>
          <t>Portal users linked to customers</t>
        </is>
      </c>
      <c r="C8" s="8" t="inlineStr">
        <is>
          <t>13b</t>
        </is>
      </c>
      <c r="D8" s="8">
        <f>COUNTA('S30 Portal users linked to cust'!$A$2:$A$200)</f>
        <v/>
      </c>
      <c r="E8" s="8">
        <f>COUNTIF('S30 Portal users linked to cust'!$H$2:$H$200,"High")</f>
        <v/>
      </c>
      <c r="F8" s="8">
        <f>COUNTIF('S30 Portal users linked to cust'!$J$2:$J$200,"Pass")</f>
        <v/>
      </c>
      <c r="G8" s="8">
        <f>COUNTIF('S30 Portal users linked to cust'!$J$2:$J$200,"Fail")</f>
        <v/>
      </c>
      <c r="H8" s="8">
        <f>COUNTIF('S30 Portal users linked to cust'!$J$2:$J$200,"Blocked")</f>
        <v/>
      </c>
    </row>
    <row r="9">
      <c r="A9" s="8" t="n">
        <v>31</v>
      </c>
      <c r="B9" s="8" t="inlineStr">
        <is>
          <t>Knowledge KPIs computed</t>
        </is>
      </c>
      <c r="C9" s="8" t="inlineStr">
        <is>
          <t>14a</t>
        </is>
      </c>
      <c r="D9" s="8">
        <f>COUNTA('S31 Knowledge KPIs computed'!$A$2:$A$200)</f>
        <v/>
      </c>
      <c r="E9" s="8">
        <f>COUNTIF('S31 Knowledge KPIs computed'!$H$2:$H$200,"High")</f>
        <v/>
      </c>
      <c r="F9" s="8">
        <f>COUNTIF('S31 Knowledge KPIs computed'!$J$2:$J$200,"Pass")</f>
        <v/>
      </c>
      <c r="G9" s="8">
        <f>COUNTIF('S31 Knowledge KPIs computed'!$J$2:$J$200,"Fail")</f>
        <v/>
      </c>
      <c r="H9" s="8">
        <f>COUNTIF('S31 Knowledge KPIs computed'!$J$2:$J$200,"Blocked")</f>
        <v/>
      </c>
    </row>
    <row r="10">
      <c r="A10" s="8" t="n">
        <v>32</v>
      </c>
      <c r="B10" s="8" t="inlineStr">
        <is>
          <t>Deploy, schema and regression</t>
        </is>
      </c>
      <c r="C10" s="8" t="inlineStr">
        <is>
          <t>All</t>
        </is>
      </c>
      <c r="D10" s="8">
        <f>COUNTA('S32 Deploy, schema and regressi'!$A$2:$A$200)</f>
        <v/>
      </c>
      <c r="E10" s="8">
        <f>COUNTIF('S32 Deploy, schema and regressi'!$H$2:$H$200,"High")</f>
        <v/>
      </c>
      <c r="F10" s="8">
        <f>COUNTIF('S32 Deploy, schema and regressi'!$J$2:$J$200,"Pass")</f>
        <v/>
      </c>
      <c r="G10" s="8">
        <f>COUNTIF('S32 Deploy, schema and regressi'!$J$2:$J$200,"Fail")</f>
        <v/>
      </c>
      <c r="H10" s="8">
        <f>COUNTIF('S32 Deploy, schema and regressi'!$J$2:$J$200,"Blocked")</f>
        <v/>
      </c>
    </row>
    <row r="11">
      <c r="A11" s="9" t="n"/>
      <c r="B11" s="10" t="inlineStr">
        <is>
          <t>Total new cases</t>
        </is>
      </c>
      <c r="C11" s="9" t="n"/>
      <c r="D11" s="11">
        <f>SUM(D4:D10)</f>
        <v/>
      </c>
      <c r="E11" s="11">
        <f>SUM(E4:E10)</f>
        <v/>
      </c>
      <c r="F11" s="11">
        <f>SUM(F4:F10)</f>
        <v/>
      </c>
      <c r="G11" s="11">
        <f>SUM(G4:G10)</f>
        <v/>
      </c>
      <c r="H11" s="11">
        <f>SUM(H4:H10)</f>
        <v/>
      </c>
    </row>
    <row r="13">
      <c r="A13" s="12" t="inlineStr">
        <is>
          <t>Counts are formulas over each suite sheet, so they stay correct if you add or remove rows.</t>
        </is>
      </c>
    </row>
    <row r="14">
      <c r="A14" s="12" t="inlineStr">
        <is>
          <t>Suite numbering assumes the master workbook ends at suite 25 - renumber before merging if not.</t>
        </is>
      </c>
    </row>
    <row r="15">
      <c r="A15" s="12" t="inlineStr">
        <is>
          <t>Source: cases written from the delivered code for phases 12a, 12b, 12c, 13a, 13b and 14a.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TC-26-001</t>
        </is>
      </c>
      <c r="B2" s="14" t="inlineStr">
        <is>
          <t>Reading-pane sections</t>
        </is>
      </c>
      <c r="C2" s="14" t="inlineStr">
        <is>
          <t>Layout</t>
        </is>
      </c>
      <c r="D2" s="14" t="inlineStr">
        <is>
          <t>All five reading-pane sections render as collapsible shells</t>
        </is>
      </c>
      <c r="E2" s="14" t="inlineStr">
        <is>
          <t>A ticket with CMDB objects, custom fields, an SLA policy, time entries and notes</t>
        </is>
      </c>
      <c r="F2" s="14" t="inlineStr">
        <is>
          <t>Open the ticket in the reading pane and scroll the detail column.</t>
        </is>
      </c>
      <c r="G2" s="14" t="inlineStr">
        <is>
          <t>CMDB objects, Custom fields, SLA, Time entries and Notes each render as one collapsible section with a chevron, title and summary. No section uses the old hand-rolled header.</t>
        </is>
      </c>
      <c r="H2" s="14" t="inlineStr">
        <is>
          <t>High</t>
        </is>
      </c>
      <c r="I2" s="14" t="inlineStr">
        <is>
          <t>12a</t>
        </is>
      </c>
      <c r="J2" s="14" t="inlineStr"/>
      <c r="K2" s="14" t="inlineStr"/>
      <c r="L2" s="14" t="inlineStr"/>
    </row>
    <row r="3">
      <c r="A3" s="15" t="inlineStr">
        <is>
          <t>TC-26-002</t>
        </is>
      </c>
      <c r="B3" s="15" t="inlineStr">
        <is>
          <t>Reading-pane sections</t>
        </is>
      </c>
      <c r="C3" s="15" t="inlineStr">
        <is>
          <t>Defaults</t>
        </is>
      </c>
      <c r="D3" s="15" t="inlineStr">
        <is>
          <t>SLA is the only section open by default</t>
        </is>
      </c>
      <c r="E3" s="15" t="inlineStr">
        <is>
          <t>An analyst who has never toggled a section (clear localStorage first)</t>
        </is>
      </c>
      <c r="F3" s="15" t="inlineStr">
        <is>
          <t>Clear localStorage for the site, reload the inbox and open any ticket.</t>
        </is>
      </c>
      <c r="G3" s="15" t="inlineStr">
        <is>
          <t>SLA is expanded. CMDB objects, Custom fields, Time entries and Notes are collapsed.</t>
        </is>
      </c>
      <c r="H3" s="15" t="inlineStr">
        <is>
          <t>High</t>
        </is>
      </c>
      <c r="I3" s="15" t="inlineStr">
        <is>
          <t>12a</t>
        </is>
      </c>
      <c r="J3" s="15" t="inlineStr"/>
      <c r="K3" s="15" t="inlineStr"/>
      <c r="L3" s="15" t="inlineStr"/>
    </row>
    <row r="4">
      <c r="A4" s="14" t="inlineStr">
        <is>
          <t>TC-26-003</t>
        </is>
      </c>
      <c r="B4" s="14" t="inlineStr">
        <is>
          <t>Reading-pane sections</t>
        </is>
      </c>
      <c r="C4" s="14" t="inlineStr">
        <is>
          <t>Summary</t>
        </is>
      </c>
      <c r="D4" s="14" t="inlineStr">
        <is>
          <t>Collapsed CMDB summary names the count and the primary CI</t>
        </is>
      </c>
      <c r="E4" s="14" t="inlineStr">
        <is>
          <t>A ticket with 3 linked CIs, one marked primary</t>
        </is>
      </c>
      <c r="F4" s="14" t="inlineStr">
        <is>
          <t>Collapse the CMDB objects section and read the header.</t>
        </is>
      </c>
      <c r="G4" s="14" t="inlineStr">
        <is>
          <t>Header summary reads in the form '3 items - primary: SRV-DC01'.</t>
        </is>
      </c>
      <c r="H4" s="14" t="inlineStr">
        <is>
          <t>Medium</t>
        </is>
      </c>
      <c r="I4" s="14" t="inlineStr">
        <is>
          <t>12a</t>
        </is>
      </c>
      <c r="J4" s="14" t="inlineStr"/>
      <c r="K4" s="14" t="inlineStr"/>
      <c r="L4" s="14" t="inlineStr"/>
    </row>
    <row r="5">
      <c r="A5" s="15" t="inlineStr">
        <is>
          <t>TC-26-004</t>
        </is>
      </c>
      <c r="B5" s="15" t="inlineStr">
        <is>
          <t>Reading-pane sections</t>
        </is>
      </c>
      <c r="C5" s="15" t="inlineStr">
        <is>
          <t>Summary</t>
        </is>
      </c>
      <c r="D5" s="15" t="inlineStr">
        <is>
          <t>Collapsed custom-fields summary names set and missing counts</t>
        </is>
      </c>
      <c r="E5" s="15" t="inlineStr">
        <is>
          <t>A ticket type with 7 custom fields, 4 populated, 1 of the empty ones required</t>
        </is>
      </c>
      <c r="F5" s="15" t="inlineStr">
        <is>
          <t>Collapse the Custom fields section and read the header.</t>
        </is>
      </c>
      <c r="G5" s="15" t="inlineStr">
        <is>
          <t>Header summary reads in the form '4 of 7 set - 1 required missing'.</t>
        </is>
      </c>
      <c r="H5" s="15" t="inlineStr">
        <is>
          <t>Medium</t>
        </is>
      </c>
      <c r="I5" s="15" t="inlineStr">
        <is>
          <t>12a</t>
        </is>
      </c>
      <c r="J5" s="15" t="inlineStr"/>
      <c r="K5" s="15" t="inlineStr"/>
      <c r="L5" s="15" t="inlineStr"/>
    </row>
    <row r="6">
      <c r="A6" s="14" t="inlineStr">
        <is>
          <t>TC-26-005</t>
        </is>
      </c>
      <c r="B6" s="14" t="inlineStr">
        <is>
          <t>Reading-pane sections</t>
        </is>
      </c>
      <c r="C6" s="14" t="inlineStr">
        <is>
          <t>Summary</t>
        </is>
      </c>
      <c r="D6" s="14" t="inlineStr">
        <is>
          <t>Collapsed SLA summary names both clocks</t>
        </is>
      </c>
      <c r="E6" s="14" t="inlineStr">
        <is>
          <t>A ticket whose response target is met and whose resolution target is still running</t>
        </is>
      </c>
      <c r="F6" s="14" t="inlineStr">
        <is>
          <t>Collapse the SLA section and read the header.</t>
        </is>
      </c>
      <c r="G6" s="14" t="inlineStr">
        <is>
          <t>Header summary reads in the form 'Response met - Resolution 2h 10m left'.</t>
        </is>
      </c>
      <c r="H6" s="14" t="inlineStr">
        <is>
          <t>Medium</t>
        </is>
      </c>
      <c r="I6" s="14" t="inlineStr">
        <is>
          <t>12a</t>
        </is>
      </c>
      <c r="J6" s="14" t="inlineStr"/>
      <c r="K6" s="14" t="inlineStr"/>
      <c r="L6" s="14" t="inlineStr"/>
    </row>
    <row r="7">
      <c r="A7" s="15" t="inlineStr">
        <is>
          <t>TC-26-006</t>
        </is>
      </c>
      <c r="B7" s="15" t="inlineStr">
        <is>
          <t>Reading-pane sections</t>
        </is>
      </c>
      <c r="C7" s="15" t="inlineStr">
        <is>
          <t>Summary</t>
        </is>
      </c>
      <c r="D7" s="15" t="inlineStr">
        <is>
          <t>Collapsed time summary names total and entry count</t>
        </is>
      </c>
      <c r="E7" s="15" t="inlineStr">
        <is>
          <t>A ticket with 5 time entries totalling 3h 45m</t>
        </is>
      </c>
      <c r="F7" s="15" t="inlineStr">
        <is>
          <t>Collapse the Time entries section and read the header.</t>
        </is>
      </c>
      <c r="G7" s="15" t="inlineStr">
        <is>
          <t>Header summary reads in the form '3h 45m - 5 entries'.</t>
        </is>
      </c>
      <c r="H7" s="15" t="inlineStr">
        <is>
          <t>Medium</t>
        </is>
      </c>
      <c r="I7" s="15" t="inlineStr">
        <is>
          <t>12a</t>
        </is>
      </c>
      <c r="J7" s="15" t="inlineStr"/>
      <c r="K7" s="15" t="inlineStr"/>
      <c r="L7" s="15" t="inlineStr"/>
    </row>
    <row r="8">
      <c r="A8" s="14" t="inlineStr">
        <is>
          <t>TC-26-007</t>
        </is>
      </c>
      <c r="B8" s="14" t="inlineStr">
        <is>
          <t>Reading-pane sections</t>
        </is>
      </c>
      <c r="C8" s="14" t="inlineStr">
        <is>
          <t>Summary</t>
        </is>
      </c>
      <c r="D8" s="14" t="inlineStr">
        <is>
          <t>Collapsed notes summary names the note count</t>
        </is>
      </c>
      <c r="E8" s="14" t="inlineStr">
        <is>
          <t>A ticket with at least one note</t>
        </is>
      </c>
      <c r="F8" s="14" t="inlineStr">
        <is>
          <t>Collapse the Notes section and read the header.</t>
        </is>
      </c>
      <c r="G8" s="14" t="inlineStr">
        <is>
          <t>Header summary states how many notes exist.</t>
        </is>
      </c>
      <c r="H8" s="14" t="inlineStr">
        <is>
          <t>Low</t>
        </is>
      </c>
      <c r="I8" s="14" t="inlineStr">
        <is>
          <t>12a</t>
        </is>
      </c>
      <c r="J8" s="14" t="inlineStr"/>
      <c r="K8" s="14" t="inlineStr"/>
      <c r="L8" s="14" t="inlineStr"/>
    </row>
    <row r="9">
      <c r="A9" s="15" t="inlineStr">
        <is>
          <t>TC-26-008</t>
        </is>
      </c>
      <c r="B9" s="15" t="inlineStr">
        <is>
          <t>Reading-pane sections</t>
        </is>
      </c>
      <c r="C9" s="15" t="inlineStr">
        <is>
          <t>Persistence</t>
        </is>
      </c>
      <c r="D9" s="15" t="inlineStr">
        <is>
          <t>Expanded/collapsed state survives a reload</t>
        </is>
      </c>
      <c r="E9" s="15" t="inlineStr">
        <is>
          <t>Any ticket</t>
        </is>
      </c>
      <c r="F9" s="15" t="inlineStr">
        <is>
          <t>Expand Time entries, collapse SLA, reload the page and reopen the same ticket.</t>
        </is>
      </c>
      <c r="G9" s="15" t="inlineStr">
        <is>
          <t>Time entries is expanded and SLA is collapsed. The state applies to every ticket, not just this one.</t>
        </is>
      </c>
      <c r="H9" s="15" t="inlineStr">
        <is>
          <t>High</t>
        </is>
      </c>
      <c r="I9" s="15" t="inlineStr">
        <is>
          <t>12a</t>
        </is>
      </c>
      <c r="J9" s="15" t="inlineStr"/>
      <c r="K9" s="15" t="inlineStr"/>
      <c r="L9" s="15" t="inlineStr"/>
    </row>
    <row r="10">
      <c r="A10" s="14" t="inlineStr">
        <is>
          <t>TC-26-009</t>
        </is>
      </c>
      <c r="B10" s="14" t="inlineStr">
        <is>
          <t>Reading-pane sections</t>
        </is>
      </c>
      <c r="C10" s="14" t="inlineStr">
        <is>
          <t>Persistence</t>
        </is>
      </c>
      <c r="D10" s="14" t="inlineStr">
        <is>
          <t>State is per analyst, not global</t>
        </is>
      </c>
      <c r="E10" s="14" t="inlineStr">
        <is>
          <t>Two analyst accounts on different browsers or profiles</t>
        </is>
      </c>
      <c r="F10" s="14" t="inlineStr">
        <is>
          <t>As analyst A collapse SLA. Log in as analyst B on a separate browser profile and open a ticket.</t>
        </is>
      </c>
      <c r="G10" s="14" t="inlineStr">
        <is>
          <t>Analyst B sees the shipped defaults (SLA open). Analyst A's choice did not follow them.</t>
        </is>
      </c>
      <c r="H10" s="14" t="inlineStr">
        <is>
          <t>Medium</t>
        </is>
      </c>
      <c r="I10" s="14" t="inlineStr">
        <is>
          <t>12a</t>
        </is>
      </c>
      <c r="J10" s="14" t="inlineStr"/>
      <c r="K10" s="14" t="inlineStr"/>
      <c r="L10" s="14" t="inlineStr"/>
    </row>
    <row r="11">
      <c r="A11" s="15" t="inlineStr">
        <is>
          <t>TC-26-010</t>
        </is>
      </c>
      <c r="B11" s="15" t="inlineStr">
        <is>
          <t>Reading-pane sections</t>
        </is>
      </c>
      <c r="C11" s="15" t="inlineStr">
        <is>
          <t>Persistence</t>
        </is>
      </c>
      <c r="D11" s="15" t="inlineStr">
        <is>
          <t>A private/incognito window falls back to defaults without erroring</t>
        </is>
      </c>
      <c r="E11" s="15" t="inlineStr">
        <is>
          <t>Browser configured to block storage</t>
        </is>
      </c>
      <c r="F11" s="15" t="inlineStr">
        <is>
          <t>Open the inbox in a private window with storage blocked and open a ticket.</t>
        </is>
      </c>
      <c r="G11" s="15" t="inlineStr">
        <is>
          <t>Sections render with default state, toggling still works for the session, no console exception.</t>
        </is>
      </c>
      <c r="H11" s="15" t="inlineStr">
        <is>
          <t>Low</t>
        </is>
      </c>
      <c r="I11" s="15" t="inlineStr">
        <is>
          <t>12a</t>
        </is>
      </c>
      <c r="J11" s="15" t="inlineStr"/>
      <c r="K11" s="15" t="inlineStr"/>
      <c r="L11" s="15" t="inlineStr"/>
    </row>
    <row r="12">
      <c r="A12" s="14" t="inlineStr">
        <is>
          <t>TC-26-011</t>
        </is>
      </c>
      <c r="B12" s="14" t="inlineStr">
        <is>
          <t>Reading-pane sections</t>
        </is>
      </c>
      <c r="C12" s="14" t="inlineStr">
        <is>
          <t>Pop-out</t>
        </is>
      </c>
      <c r="D12" s="14" t="inlineStr">
        <is>
          <t>Pop-out ticket view shows the same sections</t>
        </is>
      </c>
      <c r="E12" s="14" t="inlineStr">
        <is>
          <t>Any ticket</t>
        </is>
      </c>
      <c r="F12" s="14" t="inlineStr">
        <is>
          <t>Open a ticket, pop it out to its own window, and inspect the detail column.</t>
        </is>
      </c>
      <c r="G12" s="14" t="inlineStr">
        <is>
          <t>The same five collapsible sections render correctly, with the pop-out's own CSS overrides applied and no broken layout.</t>
        </is>
      </c>
      <c r="H12" s="14" t="inlineStr">
        <is>
          <t>High</t>
        </is>
      </c>
      <c r="I12" s="14" t="inlineStr">
        <is>
          <t>12a</t>
        </is>
      </c>
      <c r="J12" s="14" t="inlineStr"/>
      <c r="K12" s="14" t="inlineStr"/>
      <c r="L12" s="14" t="inlineStr"/>
    </row>
    <row r="13">
      <c r="A13" s="15" t="inlineStr">
        <is>
          <t>TC-26-012</t>
        </is>
      </c>
      <c r="B13" s="15" t="inlineStr">
        <is>
          <t>Reading-pane sections</t>
        </is>
      </c>
      <c r="C13" s="15" t="inlineStr">
        <is>
          <t>Interaction</t>
        </is>
      </c>
      <c r="D13" s="15" t="inlineStr">
        <is>
          <t>Toggling one section leaves the others alone</t>
        </is>
      </c>
      <c r="E13" s="15" t="inlineStr">
        <is>
          <t>Any ticket with all sections present</t>
        </is>
      </c>
      <c r="F13" s="15" t="inlineStr">
        <is>
          <t>Expand and collapse each section in turn.</t>
        </is>
      </c>
      <c r="G13" s="15" t="inlineStr">
        <is>
          <t>Only the clicked section changes. Clicking a button inside a section header does not toggle the section.</t>
        </is>
      </c>
      <c r="H13" s="15" t="inlineStr">
        <is>
          <t>Medium</t>
        </is>
      </c>
      <c r="I13" s="15" t="inlineStr">
        <is>
          <t>12a</t>
        </is>
      </c>
      <c r="J13" s="15" t="inlineStr"/>
      <c r="K13" s="15" t="inlineStr"/>
      <c r="L13" s="15" t="inlineStr"/>
    </row>
  </sheetData>
  <autoFilter ref="A1:L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TC-27-001</t>
        </is>
      </c>
      <c r="B2" s="14" t="inlineStr">
        <is>
          <t>Automatic time tracking</t>
        </is>
      </c>
      <c r="C2" s="14" t="inlineStr">
        <is>
          <t>Setup</t>
        </is>
      </c>
      <c r="D2" s="14" t="inlineStr">
        <is>
          <t>Database Verify creates the tracking schema and settings</t>
        </is>
      </c>
      <c r="E2" s="14" t="inlineStr">
        <is>
          <t>An install upgraded to this release</t>
        </is>
      </c>
      <c r="F2" s="14" t="inlineStr">
        <is>
          <t>Run Database Verify, then 'docker compose exec app php scripts/check-view-time.php'.</t>
        </is>
      </c>
      <c r="G2" s="14" t="inlineStr">
        <is>
          <t>ticket_view_sessions and ticket_time_entries.source are present; time_auto_track_enabled=1, time_auto_idle_seconds=300, time_auto_min_seconds=30. Script reports no configuration problems.</t>
        </is>
      </c>
      <c r="H2" s="14" t="inlineStr">
        <is>
          <t>High</t>
        </is>
      </c>
      <c r="I2" s="14" t="inlineStr">
        <is>
          <t>12b</t>
        </is>
      </c>
      <c r="J2" s="14" t="inlineStr"/>
      <c r="K2" s="14" t="inlineStr"/>
      <c r="L2" s="14" t="inlineStr"/>
    </row>
    <row r="3">
      <c r="A3" s="15" t="inlineStr">
        <is>
          <t>TC-27-002</t>
        </is>
      </c>
      <c r="B3" s="15" t="inlineStr">
        <is>
          <t>Automatic time tracking</t>
        </is>
      </c>
      <c r="C3" s="15" t="inlineStr">
        <is>
          <t>Setup</t>
        </is>
      </c>
      <c r="D3" s="15" t="inlineStr">
        <is>
          <t>Diagnostic names the fault when the table is missing</t>
        </is>
      </c>
      <c r="E3" s="15" t="inlineStr">
        <is>
          <t>An install where Database Verify has NOT been run</t>
        </is>
      </c>
      <c r="F3" s="15" t="inlineStr">
        <is>
          <t>Run scripts/check-view-time.php.</t>
        </is>
      </c>
      <c r="G3" s="15" t="inlineStr">
        <is>
          <t>It reports ticket_view_sessions MISSING, names Database Verify as the fix, and exits non-zero.</t>
        </is>
      </c>
      <c r="H3" s="15" t="inlineStr">
        <is>
          <t>Medium</t>
        </is>
      </c>
      <c r="I3" s="15" t="inlineStr">
        <is>
          <t>12b</t>
        </is>
      </c>
      <c r="J3" s="15" t="inlineStr"/>
      <c r="K3" s="15" t="inlineStr"/>
      <c r="L3" s="15" t="inlineStr"/>
    </row>
    <row r="4">
      <c r="A4" s="14" t="inlineStr">
        <is>
          <t>TC-27-003</t>
        </is>
      </c>
      <c r="B4" s="14" t="inlineStr">
        <is>
          <t>Automatic time tracking</t>
        </is>
      </c>
      <c r="C4" s="14" t="inlineStr">
        <is>
          <t>Setup</t>
        </is>
      </c>
      <c r="D4" s="14" t="inlineStr">
        <is>
          <t>Pane warns once in the console when nothing is being recorded</t>
        </is>
      </c>
      <c r="E4" s="14" t="inlineStr">
        <is>
          <t>An install where ticket_view_sessions does not exist</t>
        </is>
      </c>
      <c r="F4" s="14" t="inlineStr">
        <is>
          <t>Open a ticket, open the browser console, wait 40 seconds.</t>
        </is>
      </c>
      <c r="G4" s="14" t="inlineStr">
        <is>
          <t>One '[view-time]' warning appears saying beats reach the server but record nothing. It is not repeated on every beat.</t>
        </is>
      </c>
      <c r="H4" s="14" t="inlineStr">
        <is>
          <t>Medium</t>
        </is>
      </c>
      <c r="I4" s="14" t="inlineStr">
        <is>
          <t>12b</t>
        </is>
      </c>
      <c r="J4" s="14" t="inlineStr"/>
      <c r="K4" s="14" t="inlineStr"/>
      <c r="L4" s="14" t="inlineStr"/>
    </row>
    <row r="5">
      <c r="A5" s="15" t="inlineStr">
        <is>
          <t>TC-27-004</t>
        </is>
      </c>
      <c r="B5" s="15" t="inlineStr">
        <is>
          <t>Automatic time tracking</t>
        </is>
      </c>
      <c r="C5" s="15" t="inlineStr">
        <is>
          <t>Accrual</t>
        </is>
      </c>
      <c r="D5" s="15" t="inlineStr">
        <is>
          <t>Time accrues while the ticket is open, visible and being used</t>
        </is>
      </c>
      <c r="E5" s="15" t="inlineStr">
        <is>
          <t>Tracking enabled</t>
        </is>
      </c>
      <c r="F5" s="15" t="inlineStr">
        <is>
          <t>Open a ticket, keep the tab focused and move the mouse periodically for 3 minutes.</t>
        </is>
      </c>
      <c r="G5" s="15" t="inlineStr">
        <is>
          <t>check-view-time.php shows a session for that analyst and ticket with roughly 180 focused seconds.</t>
        </is>
      </c>
      <c r="H5" s="15" t="inlineStr">
        <is>
          <t>High</t>
        </is>
      </c>
      <c r="I5" s="15" t="inlineStr">
        <is>
          <t>12b</t>
        </is>
      </c>
      <c r="J5" s="15" t="inlineStr"/>
      <c r="K5" s="15" t="inlineStr"/>
      <c r="L5" s="15" t="inlineStr"/>
    </row>
    <row r="6">
      <c r="A6" s="14" t="inlineStr">
        <is>
          <t>TC-27-005</t>
        </is>
      </c>
      <c r="B6" s="14" t="inlineStr">
        <is>
          <t>Automatic time tracking</t>
        </is>
      </c>
      <c r="C6" s="14" t="inlineStr">
        <is>
          <t>Accrual</t>
        </is>
      </c>
      <c r="D6" s="14" t="inlineStr">
        <is>
          <t>A hidden tab does not accrue</t>
        </is>
      </c>
      <c r="E6" s="14" t="inlineStr">
        <is>
          <t>Tracking enabled</t>
        </is>
      </c>
      <c r="F6" s="14" t="inlineStr">
        <is>
          <t>Open a ticket, switch to another browser tab for 3 minutes, return.</t>
        </is>
      </c>
      <c r="G6" s="14" t="inlineStr">
        <is>
          <t>The session grows by at most the tail flushed at the moment of switching, not by the 3 minutes spent away.</t>
        </is>
      </c>
      <c r="H6" s="14" t="inlineStr">
        <is>
          <t>High</t>
        </is>
      </c>
      <c r="I6" s="14" t="inlineStr">
        <is>
          <t>12b</t>
        </is>
      </c>
      <c r="J6" s="14" t="inlineStr"/>
      <c r="K6" s="14" t="inlineStr"/>
      <c r="L6" s="14" t="inlineStr"/>
    </row>
    <row r="7">
      <c r="A7" s="15" t="inlineStr">
        <is>
          <t>TC-27-006</t>
        </is>
      </c>
      <c r="B7" s="15" t="inlineStr">
        <is>
          <t>Automatic time tracking</t>
        </is>
      </c>
      <c r="C7" s="15" t="inlineStr">
        <is>
          <t>Accrual</t>
        </is>
      </c>
      <c r="D7" s="15" t="inlineStr">
        <is>
          <t>Idle beyond the threshold does not accrue</t>
        </is>
      </c>
      <c r="E7" s="15" t="inlineStr">
        <is>
          <t>time_auto_idle_seconds = 300</t>
        </is>
      </c>
      <c r="F7" s="15" t="inlineStr">
        <is>
          <t>Open a ticket, leave the tab focused but do not touch the mouse or keyboard for 10 minutes.</t>
        </is>
      </c>
      <c r="G7" s="15" t="inlineStr">
        <is>
          <t>No more than about 2 minutes is added; the remaining idle time is not counted.</t>
        </is>
      </c>
      <c r="H7" s="15" t="inlineStr">
        <is>
          <t>High</t>
        </is>
      </c>
      <c r="I7" s="15" t="inlineStr">
        <is>
          <t>12b</t>
        </is>
      </c>
      <c r="J7" s="15" t="inlineStr"/>
      <c r="K7" s="15" t="inlineStr"/>
      <c r="L7" s="15" t="inlineStr"/>
    </row>
    <row r="8">
      <c r="A8" s="14" t="inlineStr">
        <is>
          <t>TC-27-007</t>
        </is>
      </c>
      <c r="B8" s="14" t="inlineStr">
        <is>
          <t>Automatic time tracking</t>
        </is>
      </c>
      <c r="C8" s="14" t="inlineStr">
        <is>
          <t>Accrual</t>
        </is>
      </c>
      <c r="D8" s="14" t="inlineStr">
        <is>
          <t>A ticket left open overnight proposes nothing for the night</t>
        </is>
      </c>
      <c r="E8" s="14" t="inlineStr">
        <is>
          <t>Tracking enabled</t>
        </is>
      </c>
      <c r="F8" s="14" t="inlineStr">
        <is>
          <t>Open a ticket, leave the machine untouched overnight, return in the morning.</t>
        </is>
      </c>
      <c r="G8" s="14" t="inlineStr">
        <is>
          <t>The proposal reflects only the minutes actually worked, not the elapsed hours.</t>
        </is>
      </c>
      <c r="H8" s="14" t="inlineStr">
        <is>
          <t>High</t>
        </is>
      </c>
      <c r="I8" s="14" t="inlineStr">
        <is>
          <t>12b</t>
        </is>
      </c>
      <c r="J8" s="14" t="inlineStr"/>
      <c r="K8" s="14" t="inlineStr"/>
      <c r="L8" s="14" t="inlineStr"/>
    </row>
    <row r="9">
      <c r="A9" s="15" t="inlineStr">
        <is>
          <t>TC-27-008</t>
        </is>
      </c>
      <c r="B9" s="15" t="inlineStr">
        <is>
          <t>Automatic time tracking</t>
        </is>
      </c>
      <c r="C9" s="15" t="inlineStr">
        <is>
          <t>Accrual</t>
        </is>
      </c>
      <c r="D9" s="15" t="inlineStr">
        <is>
          <t>A single beat cannot claim more than its interval</t>
        </is>
      </c>
      <c r="E9" s="15" t="inlineStr">
        <is>
          <t>Tracking enabled</t>
        </is>
      </c>
      <c r="F9" s="15" t="inlineStr">
        <is>
          <t>Open a ticket, suspend the machine for 30 minutes, resume with the tab still focused.</t>
        </is>
      </c>
      <c r="G9" s="15" t="inlineStr">
        <is>
          <t>The session gains at most ~120 seconds for the resumed beat, not 30 minutes.</t>
        </is>
      </c>
      <c r="H9" s="15" t="inlineStr">
        <is>
          <t>High</t>
        </is>
      </c>
      <c r="I9" s="15" t="inlineStr">
        <is>
          <t>12b</t>
        </is>
      </c>
      <c r="J9" s="15" t="inlineStr"/>
      <c r="K9" s="15" t="inlineStr"/>
      <c r="L9" s="15" t="inlineStr"/>
    </row>
    <row r="10">
      <c r="A10" s="14" t="inlineStr">
        <is>
          <t>TC-27-009</t>
        </is>
      </c>
      <c r="B10" s="14" t="inlineStr">
        <is>
          <t>Automatic time tracking</t>
        </is>
      </c>
      <c r="C10" s="14" t="inlineStr">
        <is>
          <t>Proposal</t>
        </is>
      </c>
      <c r="D10" s="14" t="inlineStr">
        <is>
          <t>The offer appears during the same sitting that earns it</t>
        </is>
      </c>
      <c r="E10" s="14" t="inlineStr">
        <is>
          <t>Tracking enabled; a ticket with no unclaimed time</t>
        </is>
      </c>
      <c r="F10" s="14" t="inlineStr">
        <is>
          <t>Open a ticket and work in it continuously for 1 minute WITHOUT leaving or reloading.</t>
        </is>
      </c>
      <c r="G10" s="14" t="inlineStr">
        <is>
          <t>REGRESSION: the Time section opens itself and shows 'You have had this ticket open for...' with an editable figure, Log it and Discard. It must NOT require navigating away and back.</t>
        </is>
      </c>
      <c r="H10" s="14" t="inlineStr">
        <is>
          <t>High</t>
        </is>
      </c>
      <c r="I10" s="14" t="inlineStr">
        <is>
          <t>12b</t>
        </is>
      </c>
      <c r="J10" s="14" t="inlineStr"/>
      <c r="K10" s="14" t="inlineStr"/>
      <c r="L10" s="14" t="inlineStr"/>
    </row>
    <row r="11">
      <c r="A11" s="15" t="inlineStr">
        <is>
          <t>TC-27-010</t>
        </is>
      </c>
      <c r="B11" s="15" t="inlineStr">
        <is>
          <t>Automatic time tracking</t>
        </is>
      </c>
      <c r="C11" s="15" t="inlineStr">
        <is>
          <t>Proposal</t>
        </is>
      </c>
      <c r="D11" s="15" t="inlineStr">
        <is>
          <t>The collapsed header flags unlogged tracked time</t>
        </is>
      </c>
      <c r="E11" s="15" t="inlineStr">
        <is>
          <t>A ticket with tracked time above the threshold</t>
        </is>
      </c>
      <c r="F11" s="15" t="inlineStr">
        <is>
          <t>Collapse the Time entries section.</t>
        </is>
      </c>
      <c r="G11" s="15" t="inlineStr">
        <is>
          <t>The header summary carries a highlighted 'Xm tracked, not logged' fragment, and its figure keeps rising as time accrues.</t>
        </is>
      </c>
      <c r="H11" s="15" t="inlineStr">
        <is>
          <t>Medium</t>
        </is>
      </c>
      <c r="I11" s="15" t="inlineStr">
        <is>
          <t>12b</t>
        </is>
      </c>
      <c r="J11" s="15" t="inlineStr"/>
      <c r="K11" s="15" t="inlineStr"/>
      <c r="L11" s="15" t="inlineStr"/>
    </row>
    <row r="12">
      <c r="A12" s="14" t="inlineStr">
        <is>
          <t>TC-27-011</t>
        </is>
      </c>
      <c r="B12" s="14" t="inlineStr">
        <is>
          <t>Automatic time tracking</t>
        </is>
      </c>
      <c r="C12" s="14" t="inlineStr">
        <is>
          <t>Proposal</t>
        </is>
      </c>
      <c r="D12" s="14" t="inlineStr">
        <is>
          <t>The running figure updates without clobbering a typed value</t>
        </is>
      </c>
      <c r="E12" s="14" t="inlineStr">
        <is>
          <t>A visible proposal</t>
        </is>
      </c>
      <c r="F12" s="14" t="inlineStr">
        <is>
          <t>Type a different number into the proposal's minutes box and wait for two more heartbeats.</t>
        </is>
      </c>
      <c r="G12" s="14" t="inlineStr">
        <is>
          <t>The typed number is preserved. The prose figure and header still update.</t>
        </is>
      </c>
      <c r="H12" s="14" t="inlineStr">
        <is>
          <t>Medium</t>
        </is>
      </c>
      <c r="I12" s="14" t="inlineStr">
        <is>
          <t>12b</t>
        </is>
      </c>
      <c r="J12" s="14" t="inlineStr"/>
      <c r="K12" s="14" t="inlineStr"/>
      <c r="L12" s="14" t="inlineStr"/>
    </row>
    <row r="13">
      <c r="A13" s="15" t="inlineStr">
        <is>
          <t>TC-27-012</t>
        </is>
      </c>
      <c r="B13" s="15" t="inlineStr">
        <is>
          <t>Automatic time tracking</t>
        </is>
      </c>
      <c r="C13" s="15" t="inlineStr">
        <is>
          <t>Proposal</t>
        </is>
      </c>
      <c r="D13" s="15" t="inlineStr">
        <is>
          <t>Nothing is proposed below the minimum</t>
        </is>
      </c>
      <c r="E13" s="15" t="inlineStr">
        <is>
          <t>time_auto_min_seconds = 30</t>
        </is>
      </c>
      <c r="F13" s="15" t="inlineStr">
        <is>
          <t>Open a ticket, interact for about 10 seconds, switch to another ticket, return.</t>
        </is>
      </c>
      <c r="G13" s="15" t="inlineStr">
        <is>
          <t>No proposal is offered. check-view-time.php shows a session of ~10 seconds and notes it is under the minimum.</t>
        </is>
      </c>
      <c r="H13" s="15" t="inlineStr">
        <is>
          <t>High</t>
        </is>
      </c>
      <c r="I13" s="15" t="inlineStr">
        <is>
          <t>12b</t>
        </is>
      </c>
      <c r="J13" s="15" t="inlineStr"/>
      <c r="K13" s="15" t="inlineStr"/>
      <c r="L13" s="15" t="inlineStr"/>
    </row>
    <row r="14">
      <c r="A14" s="14" t="inlineStr">
        <is>
          <t>TC-27-013</t>
        </is>
      </c>
      <c r="B14" s="14" t="inlineStr">
        <is>
          <t>Automatic time tracking</t>
        </is>
      </c>
      <c r="C14" s="14" t="inlineStr">
        <is>
          <t>Proposal</t>
        </is>
      </c>
      <c r="D14" s="14" t="inlineStr">
        <is>
          <t>Short visits accumulate rather than being discarded</t>
        </is>
      </c>
      <c r="E14" s="14" t="inlineStr">
        <is>
          <t>time_auto_idle_seconds = 300</t>
        </is>
      </c>
      <c r="F14" s="14" t="inlineStr">
        <is>
          <t>Visit a ticket for ~15 seconds, leave, return within 2 minutes, repeat three times.</t>
        </is>
      </c>
      <c r="G14" s="14" t="inlineStr">
        <is>
          <t>REGRESSION: the session totals roughly 45 seconds and a proposal appears once it passes 30. Tails are not lost on ticket switch.</t>
        </is>
      </c>
      <c r="H14" s="14" t="inlineStr">
        <is>
          <t>High</t>
        </is>
      </c>
      <c r="I14" s="14" t="inlineStr">
        <is>
          <t>12b</t>
        </is>
      </c>
      <c r="J14" s="14" t="inlineStr"/>
      <c r="K14" s="14" t="inlineStr"/>
      <c r="L14" s="14" t="inlineStr"/>
    </row>
    <row r="15">
      <c r="A15" s="15" t="inlineStr">
        <is>
          <t>TC-27-014</t>
        </is>
      </c>
      <c r="B15" s="15" t="inlineStr">
        <is>
          <t>Automatic time tracking</t>
        </is>
      </c>
      <c r="C15" s="15" t="inlineStr">
        <is>
          <t>Accept</t>
        </is>
      </c>
      <c r="D15" s="15" t="inlineStr">
        <is>
          <t>Log it creates a tracked entry</t>
        </is>
      </c>
      <c r="E15" s="15" t="inlineStr">
        <is>
          <t>A visible proposal of a known number of minutes</t>
        </is>
      </c>
      <c r="F15" s="15" t="inlineStr">
        <is>
          <t>Click Log it.</t>
        </is>
      </c>
      <c r="G15" s="15" t="inlineStr">
        <is>
          <t>A time entry appears with those minutes, notes 'Tracked automatically while the ticket was open', and a 'tracked' badge. The proposal disappears.</t>
        </is>
      </c>
      <c r="H15" s="15" t="inlineStr">
        <is>
          <t>High</t>
        </is>
      </c>
      <c r="I15" s="15" t="inlineStr">
        <is>
          <t>12b</t>
        </is>
      </c>
      <c r="J15" s="15" t="inlineStr"/>
      <c r="K15" s="15" t="inlineStr"/>
      <c r="L15" s="15" t="inlineStr"/>
    </row>
    <row r="16">
      <c r="A16" s="14" t="inlineStr">
        <is>
          <t>TC-27-015</t>
        </is>
      </c>
      <c r="B16" s="14" t="inlineStr">
        <is>
          <t>Automatic time tracking</t>
        </is>
      </c>
      <c r="C16" s="14" t="inlineStr">
        <is>
          <t>Accept</t>
        </is>
      </c>
      <c r="D16" s="14" t="inlineStr">
        <is>
          <t>The analyst can edit the figure before accepting</t>
        </is>
      </c>
      <c r="E16" s="14" t="inlineStr">
        <is>
          <t>A proposal of 34m</t>
        </is>
      </c>
      <c r="F16" s="14" t="inlineStr">
        <is>
          <t>Change the number to 20 and click Log it.</t>
        </is>
      </c>
      <c r="G16" s="14" t="inlineStr">
        <is>
          <t>A 20-minute entry is created, not 34.</t>
        </is>
      </c>
      <c r="H16" s="14" t="inlineStr">
        <is>
          <t>High</t>
        </is>
      </c>
      <c r="I16" s="14" t="inlineStr">
        <is>
          <t>12b</t>
        </is>
      </c>
      <c r="J16" s="14" t="inlineStr"/>
      <c r="K16" s="14" t="inlineStr"/>
      <c r="L16" s="14" t="inlineStr"/>
    </row>
    <row r="17">
      <c r="A17" s="15" t="inlineStr">
        <is>
          <t>TC-27-016</t>
        </is>
      </c>
      <c r="B17" s="15" t="inlineStr">
        <is>
          <t>Automatic time tracking</t>
        </is>
      </c>
      <c r="C17" s="15" t="inlineStr">
        <is>
          <t>Accept</t>
        </is>
      </c>
      <c r="D17" s="15" t="inlineStr">
        <is>
          <t>Discard writes nothing and does not come back</t>
        </is>
      </c>
      <c r="E17" s="15" t="inlineStr">
        <is>
          <t>A visible proposal</t>
        </is>
      </c>
      <c r="F17" s="15" t="inlineStr">
        <is>
          <t>Click Discard, then keep working on the ticket for under the minimum.</t>
        </is>
      </c>
      <c r="G17" s="15" t="inlineStr">
        <is>
          <t>No time entry is created, the proposal clears, and the discarded seconds are not re-offered.</t>
        </is>
      </c>
      <c r="H17" s="15" t="inlineStr">
        <is>
          <t>High</t>
        </is>
      </c>
      <c r="I17" s="15" t="inlineStr">
        <is>
          <t>12b</t>
        </is>
      </c>
      <c r="J17" s="15" t="inlineStr"/>
      <c r="K17" s="15" t="inlineStr"/>
      <c r="L17" s="15" t="inlineStr"/>
    </row>
    <row r="18">
      <c r="A18" s="14" t="inlineStr">
        <is>
          <t>TC-27-017</t>
        </is>
      </c>
      <c r="B18" s="14" t="inlineStr">
        <is>
          <t>Automatic time tracking</t>
        </is>
      </c>
      <c r="C18" s="14" t="inlineStr">
        <is>
          <t>Multi-user</t>
        </is>
      </c>
      <c r="D18" s="14" t="inlineStr">
        <is>
          <t>Two analysts on one ticket accrue separately</t>
        </is>
      </c>
      <c r="E18" s="14" t="inlineStr">
        <is>
          <t>Two analysts logged in on different machines</t>
        </is>
      </c>
      <c r="F18" s="14" t="inlineStr">
        <is>
          <t>Both open the same ticket and work in it for 3 minutes.</t>
        </is>
      </c>
      <c r="G18" s="14" t="inlineStr">
        <is>
          <t>check-view-time.php shows two separate sessions, one per analyst, each with its own seconds. Neither sees the other's proposal.</t>
        </is>
      </c>
      <c r="H18" s="14" t="inlineStr">
        <is>
          <t>High</t>
        </is>
      </c>
      <c r="I18" s="14" t="inlineStr">
        <is>
          <t>12b</t>
        </is>
      </c>
      <c r="J18" s="14" t="inlineStr"/>
      <c r="K18" s="14" t="inlineStr"/>
      <c r="L18" s="14" t="inlineStr"/>
    </row>
    <row r="19">
      <c r="A19" s="15" t="inlineStr">
        <is>
          <t>TC-27-018</t>
        </is>
      </c>
      <c r="B19" s="15" t="inlineStr">
        <is>
          <t>Automatic time tracking</t>
        </is>
      </c>
      <c r="C19" s="15" t="inlineStr">
        <is>
          <t>Multi-user</t>
        </is>
      </c>
      <c r="D19" s="15" t="inlineStr">
        <is>
          <t>Multiple tabs for one analyst do not double-count</t>
        </is>
      </c>
      <c r="E19" s="15" t="inlineStr">
        <is>
          <t>One analyst</t>
        </is>
      </c>
      <c r="F19" s="15" t="inlineStr">
        <is>
          <t>Open the same ticket in two tabs, work in one for 3 minutes.</t>
        </is>
      </c>
      <c r="G19" s="15" t="inlineStr">
        <is>
          <t>Only the visible tab beats. The total reflects real elapsed focused time, not double.</t>
        </is>
      </c>
      <c r="H19" s="15" t="inlineStr">
        <is>
          <t>Medium</t>
        </is>
      </c>
      <c r="I19" s="15" t="inlineStr">
        <is>
          <t>12b</t>
        </is>
      </c>
      <c r="J19" s="15" t="inlineStr"/>
      <c r="K19" s="15" t="inlineStr"/>
      <c r="L19" s="15" t="inlineStr"/>
    </row>
    <row r="20">
      <c r="A20" s="14" t="inlineStr">
        <is>
          <t>TC-27-019</t>
        </is>
      </c>
      <c r="B20" s="14" t="inlineStr">
        <is>
          <t>Automatic time tracking</t>
        </is>
      </c>
      <c r="C20" s="14" t="inlineStr">
        <is>
          <t>Lifecycle</t>
        </is>
      </c>
      <c r="D20" s="14" t="inlineStr">
        <is>
          <t>The timer stops when the pane stops showing the ticket</t>
        </is>
      </c>
      <c r="E20" s="14" t="inlineStr">
        <is>
          <t>A ticket open in the reading pane</t>
        </is>
      </c>
      <c r="F20" s="14" t="inlineStr">
        <is>
          <t>Move the ticket to the trash, then leave the browser idle-but-focused for 3 minutes.</t>
        </is>
      </c>
      <c r="G20" s="14" t="inlineStr">
        <is>
          <t>REGRESSION: no further time accrues against the trashed ticket.</t>
        </is>
      </c>
      <c r="H20" s="14" t="inlineStr">
        <is>
          <t>Medium</t>
        </is>
      </c>
      <c r="I20" s="14" t="inlineStr">
        <is>
          <t>12b</t>
        </is>
      </c>
      <c r="J20" s="14" t="inlineStr"/>
      <c r="K20" s="14" t="inlineStr"/>
      <c r="L20" s="14" t="inlineStr"/>
    </row>
    <row r="21">
      <c r="A21" s="15" t="inlineStr">
        <is>
          <t>TC-27-020</t>
        </is>
      </c>
      <c r="B21" s="15" t="inlineStr">
        <is>
          <t>Automatic time tracking</t>
        </is>
      </c>
      <c r="C21" s="15" t="inlineStr">
        <is>
          <t>KPI</t>
        </is>
      </c>
      <c r="D21" s="15" t="inlineStr">
        <is>
          <t>Accepted tracked time counts in the cost KPIs</t>
        </is>
      </c>
      <c r="E21" s="15" t="inlineStr">
        <is>
          <t>A month with accepted tracked entries</t>
        </is>
      </c>
      <c r="F21" s="15" t="inlineStr">
        <is>
          <t>Accept a tracked entry, then run 'cron/kpi_snapshot.php --period=&lt;this month&gt;' and open the KPI scorecard.</t>
        </is>
      </c>
      <c r="G21" s="15" t="inlineStr">
        <is>
          <t>Cost per ticket, utilisation, tickets per FTE, out-of-hours rate and average time per ticket all include the tracked minutes.</t>
        </is>
      </c>
      <c r="H21" s="15" t="inlineStr">
        <is>
          <t>High</t>
        </is>
      </c>
      <c r="I21" s="15" t="inlineStr">
        <is>
          <t>12b</t>
        </is>
      </c>
      <c r="J21" s="15" t="inlineStr"/>
      <c r="K21" s="15" t="inlineStr"/>
      <c r="L21" s="15" t="inlineStr"/>
    </row>
    <row r="22">
      <c r="A22" s="14" t="inlineStr">
        <is>
          <t>TC-27-021</t>
        </is>
      </c>
      <c r="B22" s="14" t="inlineStr">
        <is>
          <t>Automatic time tracking</t>
        </is>
      </c>
      <c r="C22" s="14" t="inlineStr">
        <is>
          <t>KPI</t>
        </is>
      </c>
      <c r="D22" s="14" t="inlineStr">
        <is>
          <t>source distinguishes tracked from typed without changing totals</t>
        </is>
      </c>
      <c r="E22" s="14" t="inlineStr">
        <is>
          <t>A ticket with one typed and one tracked entry</t>
        </is>
      </c>
      <c r="F22" s="14" t="inlineStr">
        <is>
          <t>Export the ticket time data and inspect the source column.</t>
        </is>
      </c>
      <c r="G22" s="14" t="inlineStr">
        <is>
          <t>Entries are labelled manual and auto respectively; both contribute to the KPI totals.</t>
        </is>
      </c>
      <c r="H22" s="14" t="inlineStr">
        <is>
          <t>Medium</t>
        </is>
      </c>
      <c r="I22" s="14" t="inlineStr">
        <is>
          <t>12b</t>
        </is>
      </c>
      <c r="J22" s="14" t="inlineStr"/>
      <c r="K22" s="14" t="inlineStr"/>
      <c r="L22" s="14" t="inlineStr"/>
    </row>
    <row r="23">
      <c r="A23" s="15" t="inlineStr">
        <is>
          <t>TC-27-022</t>
        </is>
      </c>
      <c r="B23" s="15" t="inlineStr">
        <is>
          <t>Automatic time tracking</t>
        </is>
      </c>
      <c r="C23" s="15" t="inlineStr">
        <is>
          <t>Settings</t>
        </is>
      </c>
      <c r="D23" s="15" t="inlineStr">
        <is>
          <t>The 30-second floor applies after Database Verify</t>
        </is>
      </c>
      <c r="E23" s="15" t="inlineStr">
        <is>
          <t>time_auto_min_seconds seeded at 30</t>
        </is>
      </c>
      <c r="F23" s="15" t="inlineStr">
        <is>
          <t>Work a ticket for ~40 seconds in one sitting.</t>
        </is>
      </c>
      <c r="G23" s="15" t="inlineStr">
        <is>
          <t>A 1-minute proposal is offered.</t>
        </is>
      </c>
      <c r="H23" s="15" t="inlineStr">
        <is>
          <t>High</t>
        </is>
      </c>
      <c r="I23" s="15" t="inlineStr">
        <is>
          <t>12b</t>
        </is>
      </c>
      <c r="J23" s="15" t="inlineStr"/>
      <c r="K23" s="15" t="inlineStr"/>
      <c r="L23" s="15" t="inlineStr"/>
    </row>
    <row r="24">
      <c r="A24" s="14" t="inlineStr">
        <is>
          <t>TC-27-023</t>
        </is>
      </c>
      <c r="B24" s="14" t="inlineStr">
        <is>
          <t>Automatic time tracking</t>
        </is>
      </c>
      <c r="C24" s="14" t="inlineStr">
        <is>
          <t>Settings</t>
        </is>
      </c>
      <c r="D24" s="14" t="inlineStr">
        <is>
          <t>A pre-verify install keeps its old threshold</t>
        </is>
      </c>
      <c r="E24" s="14" t="inlineStr">
        <is>
          <t>An install with time_auto_min_minutes = 2 and no time_auto_min_seconds</t>
        </is>
      </c>
      <c r="F24" s="14" t="inlineStr">
        <is>
          <t>Deploy the code but do NOT run Database Verify. Run check-view-time.php.</t>
        </is>
      </c>
      <c r="G24" s="14" t="inlineStr">
        <is>
          <t>It reports a 120s floor carried over from the old setting and names Database Verify as the way to get 30s. Behaviour does not change silently on deploy.</t>
        </is>
      </c>
      <c r="H24" s="14" t="inlineStr">
        <is>
          <t>Medium</t>
        </is>
      </c>
      <c r="I24" s="14" t="inlineStr">
        <is>
          <t>12b</t>
        </is>
      </c>
      <c r="J24" s="14" t="inlineStr"/>
      <c r="K24" s="14" t="inlineStr"/>
      <c r="L24" s="14" t="inlineStr"/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TC-28-001</t>
        </is>
      </c>
      <c r="B2" s="14" t="inlineStr">
        <is>
          <t>Category hierarchy per ticket type</t>
        </is>
      </c>
      <c r="C2" s="14" t="inlineStr">
        <is>
          <t>Setup</t>
        </is>
      </c>
      <c r="D2" s="14" t="inlineStr">
        <is>
          <t>Database Verify adds the type column and the Event type</t>
        </is>
      </c>
      <c r="E2" s="14" t="inlineStr">
        <is>
          <t>An install upgraded to this release with the original three ticket types</t>
        </is>
      </c>
      <c r="F2" s="14" t="inlineStr">
        <is>
          <t>Run Database Verify, then open Tickets &gt; Settings &gt; Ticket types.</t>
        </is>
      </c>
      <c r="G2" s="14" t="inlineStr">
        <is>
          <t>ticket_categories.ticket_type_id exists. Incident, Service Request, Question and Event are all listed.</t>
        </is>
      </c>
      <c r="H2" s="14" t="inlineStr">
        <is>
          <t>High</t>
        </is>
      </c>
      <c r="I2" s="14" t="inlineStr">
        <is>
          <t>12c</t>
        </is>
      </c>
      <c r="J2" s="14" t="inlineStr"/>
      <c r="K2" s="14" t="inlineStr"/>
      <c r="L2" s="14" t="inlineStr"/>
    </row>
    <row r="3">
      <c r="A3" s="15" t="inlineStr">
        <is>
          <t>TC-28-002</t>
        </is>
      </c>
      <c r="B3" s="15" t="inlineStr">
        <is>
          <t>Category hierarchy per ticket type</t>
        </is>
      </c>
      <c r="C3" s="15" t="inlineStr">
        <is>
          <t>Setup</t>
        </is>
      </c>
      <c r="D3" s="15" t="inlineStr">
        <is>
          <t>A deliberately deleted Event type is not resurrected</t>
        </is>
      </c>
      <c r="E3" s="15" t="inlineStr">
        <is>
          <t>Event seeded by a previous verify</t>
        </is>
      </c>
      <c r="F3" s="15" t="inlineStr">
        <is>
          <t>Delete the Event ticket type, then run Database Verify again.</t>
        </is>
      </c>
      <c r="G3" s="15" t="inlineStr">
        <is>
          <t>Event stays deleted. The verify does not re-add it.</t>
        </is>
      </c>
      <c r="H3" s="15" t="inlineStr">
        <is>
          <t>Medium</t>
        </is>
      </c>
      <c r="I3" s="15" t="inlineStr">
        <is>
          <t>12c</t>
        </is>
      </c>
      <c r="J3" s="15" t="inlineStr"/>
      <c r="K3" s="15" t="inlineStr"/>
      <c r="L3" s="15" t="inlineStr"/>
    </row>
    <row r="4">
      <c r="A4" s="14" t="inlineStr">
        <is>
          <t>TC-28-003</t>
        </is>
      </c>
      <c r="B4" s="14" t="inlineStr">
        <is>
          <t>Category hierarchy per ticket type</t>
        </is>
      </c>
      <c r="C4" s="14" t="inlineStr">
        <is>
          <t>Migration</t>
        </is>
      </c>
      <c r="D4" s="14" t="inlineStr">
        <is>
          <t>Existing categories remain available on every type</t>
        </is>
      </c>
      <c r="E4" s="14" t="inlineStr">
        <is>
          <t>An install with categories created before this release</t>
        </is>
      </c>
      <c r="F4" s="14" t="inlineStr">
        <is>
          <t>Run Database Verify and open any ticket.</t>
        </is>
      </c>
      <c r="G4" s="14" t="inlineStr">
        <is>
          <t>Every pre-existing category is still offered on every ticket type. No ticket's category has changed.</t>
        </is>
      </c>
      <c r="H4" s="14" t="inlineStr">
        <is>
          <t>High</t>
        </is>
      </c>
      <c r="I4" s="14" t="inlineStr">
        <is>
          <t>12c</t>
        </is>
      </c>
      <c r="J4" s="14" t="inlineStr"/>
      <c r="K4" s="14" t="inlineStr"/>
      <c r="L4" s="14" t="inlineStr"/>
    </row>
    <row r="5">
      <c r="A5" s="15" t="inlineStr">
        <is>
          <t>TC-28-004</t>
        </is>
      </c>
      <c r="B5" s="15" t="inlineStr">
        <is>
          <t>Category hierarchy per ticket type</t>
        </is>
      </c>
      <c r="C5" s="15" t="inlineStr">
        <is>
          <t>Settings</t>
        </is>
      </c>
      <c r="D5" s="15" t="inlineStr">
        <is>
          <t>The categories list shows a Ticket type column</t>
        </is>
      </c>
      <c r="E5" s="15" t="inlineStr">
        <is>
          <t>Any install after verify</t>
        </is>
      </c>
      <c r="F5" s="15" t="inlineStr">
        <is>
          <t>Open Tickets &gt; Settings &gt; Categories.</t>
        </is>
      </c>
      <c r="G5" s="15" t="inlineStr">
        <is>
          <t>A 'Ticket type' column reads 'Every ticket type' for unscoped categories and the type's NAME (not an id) for scoped ones.</t>
        </is>
      </c>
      <c r="H5" s="15" t="inlineStr">
        <is>
          <t>High</t>
        </is>
      </c>
      <c r="I5" s="15" t="inlineStr">
        <is>
          <t>12c</t>
        </is>
      </c>
      <c r="J5" s="15" t="inlineStr"/>
      <c r="K5" s="15" t="inlineStr"/>
      <c r="L5" s="15" t="inlineStr"/>
    </row>
    <row r="6">
      <c r="A6" s="14" t="inlineStr">
        <is>
          <t>TC-28-005</t>
        </is>
      </c>
      <c r="B6" s="14" t="inlineStr">
        <is>
          <t>Category hierarchy per ticket type</t>
        </is>
      </c>
      <c r="C6" s="14" t="inlineStr">
        <is>
          <t>Settings</t>
        </is>
      </c>
      <c r="D6" s="14" t="inlineStr">
        <is>
          <t>A category can be narrowed to one type</t>
        </is>
      </c>
      <c r="E6" s="14" t="inlineStr">
        <is>
          <t>A category called 'Hardware fault'</t>
        </is>
      </c>
      <c r="F6" s="14" t="inlineStr">
        <is>
          <t>Edit the category, set 'Available on' to Incident, save, and reopen the list.</t>
        </is>
      </c>
      <c r="G6" s="14" t="inlineStr">
        <is>
          <t>The category saves and its Ticket type column reads Incident.</t>
        </is>
      </c>
      <c r="H6" s="14" t="inlineStr">
        <is>
          <t>High</t>
        </is>
      </c>
      <c r="I6" s="14" t="inlineStr">
        <is>
          <t>12c</t>
        </is>
      </c>
      <c r="J6" s="14" t="inlineStr"/>
      <c r="K6" s="14" t="inlineStr"/>
      <c r="L6" s="14" t="inlineStr"/>
    </row>
    <row r="7">
      <c r="A7" s="15" t="inlineStr">
        <is>
          <t>TC-28-006</t>
        </is>
      </c>
      <c r="B7" s="15" t="inlineStr">
        <is>
          <t>Category hierarchy per ticket type</t>
        </is>
      </c>
      <c r="C7" s="15" t="inlineStr">
        <is>
          <t>Settings</t>
        </is>
      </c>
      <c r="D7" s="15" t="inlineStr">
        <is>
          <t>A category can be widened back to every type</t>
        </is>
      </c>
      <c r="E7" s="15" t="inlineStr">
        <is>
          <t>A category scoped to Incident</t>
        </is>
      </c>
      <c r="F7" s="15" t="inlineStr">
        <is>
          <t>Edit it, set 'Available on' back to 'Every ticket type', save.</t>
        </is>
      </c>
      <c r="G7" s="15" t="inlineStr">
        <is>
          <t>The column reads 'Every ticket type' and the category is offered on all types again.</t>
        </is>
      </c>
      <c r="H7" s="15" t="inlineStr">
        <is>
          <t>Medium</t>
        </is>
      </c>
      <c r="I7" s="15" t="inlineStr">
        <is>
          <t>12c</t>
        </is>
      </c>
      <c r="J7" s="15" t="inlineStr"/>
      <c r="K7" s="15" t="inlineStr"/>
      <c r="L7" s="15" t="inlineStr"/>
    </row>
    <row r="8">
      <c r="A8" s="14" t="inlineStr">
        <is>
          <t>TC-28-007</t>
        </is>
      </c>
      <c r="B8" s="14" t="inlineStr">
        <is>
          <t>Category hierarchy per ticket type</t>
        </is>
      </c>
      <c r="C8" s="14" t="inlineStr">
        <is>
          <t>Settings</t>
        </is>
      </c>
      <c r="D8" s="14" t="inlineStr">
        <is>
          <t>The scope picker only appears for categories</t>
        </is>
      </c>
      <c r="E8" s="14" t="inlineStr">
        <is>
          <t>Any install</t>
        </is>
      </c>
      <c r="F8" s="14" t="inlineStr">
        <is>
          <t>Open the add/edit modal for a department, ticket type, status and priority in turn.</t>
        </is>
      </c>
      <c r="G8" s="14" t="inlineStr">
        <is>
          <t>The 'Available on' field is shown only for categories.</t>
        </is>
      </c>
      <c r="H8" s="14" t="inlineStr">
        <is>
          <t>Low</t>
        </is>
      </c>
      <c r="I8" s="14" t="inlineStr">
        <is>
          <t>12c</t>
        </is>
      </c>
      <c r="J8" s="14" t="inlineStr"/>
      <c r="K8" s="14" t="inlineStr"/>
      <c r="L8" s="14" t="inlineStr"/>
    </row>
    <row r="9">
      <c r="A9" s="15" t="inlineStr">
        <is>
          <t>TC-28-008</t>
        </is>
      </c>
      <c r="B9" s="15" t="inlineStr">
        <is>
          <t>Category hierarchy per ticket type</t>
        </is>
      </c>
      <c r="C9" s="15" t="inlineStr">
        <is>
          <t>Reading pane</t>
        </is>
      </c>
      <c r="D9" s="15" t="inlineStr">
        <is>
          <t>The category picker is narrowed by the ticket's type</t>
        </is>
      </c>
      <c r="E9" s="15" t="inlineStr">
        <is>
          <t>'Hardware fault' scoped to Incident; the ticket is a Service Request</t>
        </is>
      </c>
      <c r="F9" s="15" t="inlineStr">
        <is>
          <t>Open the ticket and open the Category dropdown.</t>
        </is>
      </c>
      <c r="G9" s="15" t="inlineStr">
        <is>
          <t>'Hardware fault' is absent. Every unscoped category is present.</t>
        </is>
      </c>
      <c r="H9" s="15" t="inlineStr">
        <is>
          <t>High</t>
        </is>
      </c>
      <c r="I9" s="15" t="inlineStr">
        <is>
          <t>12c</t>
        </is>
      </c>
      <c r="J9" s="15" t="inlineStr"/>
      <c r="K9" s="15" t="inlineStr"/>
      <c r="L9" s="15" t="inlineStr"/>
    </row>
    <row r="10">
      <c r="A10" s="14" t="inlineStr">
        <is>
          <t>TC-28-009</t>
        </is>
      </c>
      <c r="B10" s="14" t="inlineStr">
        <is>
          <t>Category hierarchy per ticket type</t>
        </is>
      </c>
      <c r="C10" s="14" t="inlineStr">
        <is>
          <t>Reading pane</t>
        </is>
      </c>
      <c r="D10" s="14" t="inlineStr">
        <is>
          <t>Changing the type re-narrows the picker immediately</t>
        </is>
      </c>
      <c r="E10" s="14" t="inlineStr">
        <is>
          <t>As above</t>
        </is>
      </c>
      <c r="F10" s="14" t="inlineStr">
        <is>
          <t>Change the ticket's type from Service Request to Incident, then open the Category dropdown.</t>
        </is>
      </c>
      <c r="G10" s="14" t="inlineStr">
        <is>
          <t>'Hardware fault' is now offered, without needing a page reload.</t>
        </is>
      </c>
      <c r="H10" s="14" t="inlineStr">
        <is>
          <t>High</t>
        </is>
      </c>
      <c r="I10" s="14" t="inlineStr">
        <is>
          <t>12c</t>
        </is>
      </c>
      <c r="J10" s="14" t="inlineStr"/>
      <c r="K10" s="14" t="inlineStr"/>
      <c r="L10" s="14" t="inlineStr"/>
    </row>
    <row r="11">
      <c r="A11" s="15" t="inlineStr">
        <is>
          <t>TC-28-010</t>
        </is>
      </c>
      <c r="B11" s="15" t="inlineStr">
        <is>
          <t>Category hierarchy per ticket type</t>
        </is>
      </c>
      <c r="C11" s="15" t="inlineStr">
        <is>
          <t>Reading pane</t>
        </is>
      </c>
      <c r="D11" s="15" t="inlineStr">
        <is>
          <t>A type change clears a category the new type does not allow</t>
        </is>
      </c>
      <c r="E11" s="15" t="inlineStr">
        <is>
          <t>A ticket of type Incident with category 'Hardware fault' (Incident-only)</t>
        </is>
      </c>
      <c r="F11" s="15" t="inlineStr">
        <is>
          <t>Change the ticket's type to Question.</t>
        </is>
      </c>
      <c r="G11" s="15" t="inlineStr">
        <is>
          <t>The category clears, a toast names the category and the new type, and the picker reloads.</t>
        </is>
      </c>
      <c r="H11" s="15" t="inlineStr">
        <is>
          <t>High</t>
        </is>
      </c>
      <c r="I11" s="15" t="inlineStr">
        <is>
          <t>12c</t>
        </is>
      </c>
      <c r="J11" s="15" t="inlineStr"/>
      <c r="K11" s="15" t="inlineStr"/>
      <c r="L11" s="15" t="inlineStr"/>
    </row>
    <row r="12">
      <c r="A12" s="14" t="inlineStr">
        <is>
          <t>TC-28-011</t>
        </is>
      </c>
      <c r="B12" s="14" t="inlineStr">
        <is>
          <t>Category hierarchy per ticket type</t>
        </is>
      </c>
      <c r="C12" s="14" t="inlineStr">
        <is>
          <t>Reading pane</t>
        </is>
      </c>
      <c r="D12" s="14" t="inlineStr">
        <is>
          <t>The clear is recorded in the audit trail</t>
        </is>
      </c>
      <c r="E12" s="14" t="inlineStr">
        <is>
          <t>As above, with a subcategory also set</t>
        </is>
      </c>
      <c r="F12" s="14" t="inlineStr">
        <is>
          <t>After the type change, open the ticket's Activity/audit tab.</t>
        </is>
      </c>
      <c r="G12" s="14" t="inlineStr">
        <is>
          <t>Two rows: Category set to empty, and Subcategory set to empty. The ticket-type change is recorded as well.</t>
        </is>
      </c>
      <c r="H12" s="14" t="inlineStr">
        <is>
          <t>High</t>
        </is>
      </c>
      <c r="I12" s="14" t="inlineStr">
        <is>
          <t>12c</t>
        </is>
      </c>
      <c r="J12" s="14" t="inlineStr"/>
      <c r="K12" s="14" t="inlineStr"/>
      <c r="L12" s="14" t="inlineStr"/>
    </row>
    <row r="13">
      <c r="A13" s="15" t="inlineStr">
        <is>
          <t>TC-28-012</t>
        </is>
      </c>
      <c r="B13" s="15" t="inlineStr">
        <is>
          <t>Category hierarchy per ticket type</t>
        </is>
      </c>
      <c r="C13" s="15" t="inlineStr">
        <is>
          <t>Reading pane</t>
        </is>
      </c>
      <c r="D13" s="15" t="inlineStr">
        <is>
          <t>A subcategory never outlives its category</t>
        </is>
      </c>
      <c r="E13" s="15" t="inlineStr">
        <is>
          <t>A ticket with a category and subcategory, cleared by a type change</t>
        </is>
      </c>
      <c r="F13" s="15" t="inlineStr">
        <is>
          <t>Inspect the ticket after the clear.</t>
        </is>
      </c>
      <c r="G13" s="15" t="inlineStr">
        <is>
          <t>Both category and subcategory are empty. No orphan subcategory remains.</t>
        </is>
      </c>
      <c r="H13" s="15" t="inlineStr">
        <is>
          <t>High</t>
        </is>
      </c>
      <c r="I13" s="15" t="inlineStr">
        <is>
          <t>12c</t>
        </is>
      </c>
      <c r="J13" s="15" t="inlineStr"/>
      <c r="K13" s="15" t="inlineStr"/>
      <c r="L13" s="15" t="inlineStr"/>
    </row>
    <row r="14">
      <c r="A14" s="14" t="inlineStr">
        <is>
          <t>TC-28-013</t>
        </is>
      </c>
      <c r="B14" s="14" t="inlineStr">
        <is>
          <t>Category hierarchy per ticket type</t>
        </is>
      </c>
      <c r="C14" s="14" t="inlineStr">
        <is>
          <t>Validation</t>
        </is>
      </c>
      <c r="D14" s="14" t="inlineStr">
        <is>
          <t>An explicitly mismatched pair is refused on update</t>
        </is>
      </c>
      <c r="E14" s="14" t="inlineStr">
        <is>
          <t>'Hardware fault' scoped to Incident</t>
        </is>
      </c>
      <c r="F14" s="14" t="inlineStr">
        <is>
          <t>Via the API, PATCH a ticket setting ticket_type_id=Question and category_id='Hardware fault' in one call.</t>
        </is>
      </c>
      <c r="G14" s="14" t="inlineStr">
        <is>
          <t>The request is rejected with 'That category is not available for the selected ticket type.' Nothing is written.</t>
        </is>
      </c>
      <c r="H14" s="14" t="inlineStr">
        <is>
          <t>High</t>
        </is>
      </c>
      <c r="I14" s="14" t="inlineStr">
        <is>
          <t>12c</t>
        </is>
      </c>
      <c r="J14" s="14" t="inlineStr"/>
      <c r="K14" s="14" t="inlineStr"/>
      <c r="L14" s="14" t="inlineStr"/>
    </row>
    <row r="15">
      <c r="A15" s="15" t="inlineStr">
        <is>
          <t>TC-28-014</t>
        </is>
      </c>
      <c r="B15" s="15" t="inlineStr">
        <is>
          <t>Category hierarchy per ticket type</t>
        </is>
      </c>
      <c r="C15" s="15" t="inlineStr">
        <is>
          <t>Validation</t>
        </is>
      </c>
      <c r="D15" s="15" t="inlineStr">
        <is>
          <t>An explicitly mismatched pair is refused on create</t>
        </is>
      </c>
      <c r="E15" s="15" t="inlineStr">
        <is>
          <t>As above</t>
        </is>
      </c>
      <c r="F15" s="15" t="inlineStr">
        <is>
          <t>Create a ticket via the API with type Question and category 'Hardware fault'.</t>
        </is>
      </c>
      <c r="G15" s="15" t="inlineStr">
        <is>
          <t>Creation is refused with the same message.</t>
        </is>
      </c>
      <c r="H15" s="15" t="inlineStr">
        <is>
          <t>High</t>
        </is>
      </c>
      <c r="I15" s="15" t="inlineStr">
        <is>
          <t>12c</t>
        </is>
      </c>
      <c r="J15" s="15" t="inlineStr"/>
      <c r="K15" s="15" t="inlineStr"/>
      <c r="L15" s="15" t="inlineStr"/>
    </row>
    <row r="16">
      <c r="A16" s="14" t="inlineStr">
        <is>
          <t>TC-28-015</t>
        </is>
      </c>
      <c r="B16" s="14" t="inlineStr">
        <is>
          <t>Category hierarchy per ticket type</t>
        </is>
      </c>
      <c r="C16" s="14" t="inlineStr">
        <is>
          <t>Create ticket</t>
        </is>
      </c>
      <c r="D16" s="14" t="inlineStr">
        <is>
          <t>The New Ticket modal narrows its categories on type change</t>
        </is>
      </c>
      <c r="E16" s="14" t="inlineStr">
        <is>
          <t>'Hardware fault' scoped to Incident</t>
        </is>
      </c>
      <c r="F16" s="14" t="inlineStr">
        <is>
          <t>Open New Ticket, choose type Incident, open Category, then change type to Question and reopen Category.</t>
        </is>
      </c>
      <c r="G16" s="14" t="inlineStr">
        <is>
          <t>'Hardware fault' is offered under Incident and absent under Question.</t>
        </is>
      </c>
      <c r="H16" s="14" t="inlineStr">
        <is>
          <t>High</t>
        </is>
      </c>
      <c r="I16" s="14" t="inlineStr">
        <is>
          <t>12c</t>
        </is>
      </c>
      <c r="J16" s="14" t="inlineStr"/>
      <c r="K16" s="14" t="inlineStr"/>
      <c r="L16" s="14" t="inlineStr"/>
    </row>
    <row r="17">
      <c r="A17" s="15" t="inlineStr">
        <is>
          <t>TC-28-016</t>
        </is>
      </c>
      <c r="B17" s="15" t="inlineStr">
        <is>
          <t>Category hierarchy per ticket type</t>
        </is>
      </c>
      <c r="C17" s="15" t="inlineStr">
        <is>
          <t>Create ticket</t>
        </is>
      </c>
      <c r="D17" s="15" t="inlineStr">
        <is>
          <t>A dropped selection is announced, not silently lost</t>
        </is>
      </c>
      <c r="E17" s="15" t="inlineStr">
        <is>
          <t>As above</t>
        </is>
      </c>
      <c r="F17" s="15" t="inlineStr">
        <is>
          <t>Select 'Hardware fault' under Incident, then change the type to Question.</t>
        </is>
      </c>
      <c r="G17" s="15" t="inlineStr">
        <is>
          <t>The category selection clears and a message says it is not available for this ticket type.</t>
        </is>
      </c>
      <c r="H17" s="15" t="inlineStr">
        <is>
          <t>Medium</t>
        </is>
      </c>
      <c r="I17" s="15" t="inlineStr">
        <is>
          <t>12c</t>
        </is>
      </c>
      <c r="J17" s="15" t="inlineStr"/>
      <c r="K17" s="15" t="inlineStr"/>
      <c r="L17" s="15" t="inlineStr"/>
    </row>
    <row r="18">
      <c r="A18" s="14" t="inlineStr">
        <is>
          <t>TC-28-017</t>
        </is>
      </c>
      <c r="B18" s="14" t="inlineStr">
        <is>
          <t>Category hierarchy per ticket type</t>
        </is>
      </c>
      <c r="C18" s="14" t="inlineStr">
        <is>
          <t>Import</t>
        </is>
      </c>
      <c r="D18" s="14" t="inlineStr">
        <is>
          <t>A mismatched pair fails its row with a usable message</t>
        </is>
      </c>
      <c r="E18" s="14" t="inlineStr">
        <is>
          <t>'Hardware fault' scoped to Incident</t>
        </is>
      </c>
      <c r="F18" s="14" t="inlineStr">
        <is>
          <t>Import a ticket CSV with a row naming ticket_type 'Question' and category 'Hardware fault'.</t>
        </is>
      </c>
      <c r="G18" s="14" t="inlineStr">
        <is>
          <t>That row is reported as an error naming the row number and the pairing. Other rows are unaffected. Nothing is committed for the bad row.</t>
        </is>
      </c>
      <c r="H18" s="14" t="inlineStr">
        <is>
          <t>High</t>
        </is>
      </c>
      <c r="I18" s="14" t="inlineStr">
        <is>
          <t>12c</t>
        </is>
      </c>
      <c r="J18" s="14" t="inlineStr"/>
      <c r="K18" s="14" t="inlineStr"/>
      <c r="L18" s="14" t="inlineStr"/>
    </row>
    <row r="19">
      <c r="A19" s="15" t="inlineStr">
        <is>
          <t>TC-28-018</t>
        </is>
      </c>
      <c r="B19" s="15" t="inlineStr">
        <is>
          <t>Category hierarchy per ticket type</t>
        </is>
      </c>
      <c r="C19" s="15" t="inlineStr">
        <is>
          <t>Import</t>
        </is>
      </c>
      <c r="D19" s="15" t="inlineStr">
        <is>
          <t>A row naming only one side still imports</t>
        </is>
      </c>
      <c r="E19" s="15" t="inlineStr">
        <is>
          <t>As above</t>
        </is>
      </c>
      <c r="F19" s="15" t="inlineStr">
        <is>
          <t>Import a row that updates ticket_type but names no category.</t>
        </is>
      </c>
      <c r="G19" s="15" t="inlineStr">
        <is>
          <t>The row imports without a pairing error.</t>
        </is>
      </c>
      <c r="H19" s="15" t="inlineStr">
        <is>
          <t>Medium</t>
        </is>
      </c>
      <c r="I19" s="15" t="inlineStr">
        <is>
          <t>12c</t>
        </is>
      </c>
      <c r="J19" s="15" t="inlineStr"/>
      <c r="K19" s="15" t="inlineStr"/>
      <c r="L19" s="15" t="inlineStr"/>
    </row>
    <row r="20">
      <c r="A20" s="14" t="inlineStr">
        <is>
          <t>TC-28-019</t>
        </is>
      </c>
      <c r="B20" s="14" t="inlineStr">
        <is>
          <t>Category hierarchy per ticket type</t>
        </is>
      </c>
      <c r="C20" s="14" t="inlineStr">
        <is>
          <t>Import</t>
        </is>
      </c>
      <c r="D20" s="14" t="inlineStr">
        <is>
          <t>Bulk import performance is not degraded</t>
        </is>
      </c>
      <c r="E20" s="14" t="inlineStr">
        <is>
          <t>A file of several thousand ticket rows</t>
        </is>
      </c>
      <c r="F20" s="14" t="inlineStr">
        <is>
          <t>Run the import and time it against the previous release.</t>
        </is>
      </c>
      <c r="G20" s="14" t="inlineStr">
        <is>
          <t>No material slowdown; the category/type lookup is cached per request.</t>
        </is>
      </c>
      <c r="H20" s="14" t="inlineStr">
        <is>
          <t>Low</t>
        </is>
      </c>
      <c r="I20" s="14" t="inlineStr">
        <is>
          <t>12c</t>
        </is>
      </c>
      <c r="J20" s="14" t="inlineStr"/>
      <c r="K20" s="14" t="inlineStr"/>
      <c r="L20" s="14" t="inlineStr"/>
    </row>
    <row r="21">
      <c r="A21" s="15" t="inlineStr">
        <is>
          <t>TC-28-020</t>
        </is>
      </c>
      <c r="B21" s="15" t="inlineStr">
        <is>
          <t>Category hierarchy per ticket type</t>
        </is>
      </c>
      <c r="C21" s="15" t="inlineStr">
        <is>
          <t>Cascade</t>
        </is>
      </c>
      <c r="D21" s="15" t="inlineStr">
        <is>
          <t>Deleting a ticket type widens its categories rather than deleting them</t>
        </is>
      </c>
      <c r="E21" s="15" t="inlineStr">
        <is>
          <t>'Hardware fault' scoped to a disposable type</t>
        </is>
      </c>
      <c r="F21" s="15" t="inlineStr">
        <is>
          <t>Delete that ticket type, then open Settings &gt; Categories.</t>
        </is>
      </c>
      <c r="G21" s="15" t="inlineStr">
        <is>
          <t>'Hardware fault' still exists and now reads 'Every ticket type'. It was not deleted.</t>
        </is>
      </c>
      <c r="H21" s="15" t="inlineStr">
        <is>
          <t>High</t>
        </is>
      </c>
      <c r="I21" s="15" t="inlineStr">
        <is>
          <t>12c</t>
        </is>
      </c>
      <c r="J21" s="15" t="inlineStr"/>
      <c r="K21" s="15" t="inlineStr"/>
      <c r="L21" s="15" t="inlineStr"/>
    </row>
    <row r="22">
      <c r="A22" s="14" t="inlineStr">
        <is>
          <t>TC-28-021</t>
        </is>
      </c>
      <c r="B22" s="14" t="inlineStr">
        <is>
          <t>Category hierarchy per ticket type</t>
        </is>
      </c>
      <c r="C22" s="14" t="inlineStr">
        <is>
          <t>Unaffected</t>
        </is>
      </c>
      <c r="D22" s="14" t="inlineStr">
        <is>
          <t>Filters and reports still work across all categories</t>
        </is>
      </c>
      <c r="E22" s="14" t="inlineStr">
        <is>
          <t>Tickets across several types and categories</t>
        </is>
      </c>
      <c r="F22" s="14" t="inlineStr">
        <is>
          <t>Filter the ticket list by a scoped category and run a report grouped by category.</t>
        </is>
      </c>
      <c r="G22" s="14" t="inlineStr">
        <is>
          <t>Both behave exactly as before; no type scoping is applied to filtering or grouping.</t>
        </is>
      </c>
      <c r="H22" s="14" t="inlineStr">
        <is>
          <t>Medium</t>
        </is>
      </c>
      <c r="I22" s="14" t="inlineStr">
        <is>
          <t>12c</t>
        </is>
      </c>
      <c r="J22" s="14" t="inlineStr"/>
      <c r="K22" s="14" t="inlineStr"/>
      <c r="L22" s="14" t="inlineStr"/>
    </row>
    <row r="23">
      <c r="A23" s="15" t="inlineStr">
        <is>
          <t>TC-28-022</t>
        </is>
      </c>
      <c r="B23" s="15" t="inlineStr">
        <is>
          <t>Category hierarchy per ticket type</t>
        </is>
      </c>
      <c r="C23" s="15" t="inlineStr">
        <is>
          <t>Unaffected</t>
        </is>
      </c>
      <c r="D23" s="15" t="inlineStr">
        <is>
          <t>The self-service catalogue is unaffected</t>
        </is>
      </c>
      <c r="E23" s="15" t="inlineStr">
        <is>
          <t>A catalogue item mapped to a scoped category</t>
        </is>
      </c>
      <c r="F23" s="15" t="inlineStr">
        <is>
          <t>Raise a request through the self-service portal.</t>
        </is>
      </c>
      <c r="G23" s="15" t="inlineStr">
        <is>
          <t>The ticket is created with that category. No type conflict occurs, since portal tickets set no type.</t>
        </is>
      </c>
      <c r="H23" s="15" t="inlineStr">
        <is>
          <t>Medium</t>
        </is>
      </c>
      <c r="I23" s="15" t="inlineStr">
        <is>
          <t>12c</t>
        </is>
      </c>
      <c r="J23" s="15" t="inlineStr"/>
      <c r="K23" s="15" t="inlineStr"/>
      <c r="L23" s="15" t="inlineStr"/>
    </row>
    <row r="24">
      <c r="A24" s="14" t="inlineStr">
        <is>
          <t>TC-28-023</t>
        </is>
      </c>
      <c r="B24" s="14" t="inlineStr">
        <is>
          <t>Category hierarchy per ticket type</t>
        </is>
      </c>
      <c r="C24" s="14" t="inlineStr">
        <is>
          <t>Unaffected</t>
        </is>
      </c>
      <c r="D24" s="14" t="inlineStr">
        <is>
          <t>Migration creates categories available on every type</t>
        </is>
      </c>
      <c r="E24" s="14" t="inlineStr">
        <is>
          <t>A migration file naming categories that do not exist</t>
        </is>
      </c>
      <c r="F24" s="14" t="inlineStr">
        <is>
          <t>Run a migration that creates category lookups.</t>
        </is>
      </c>
      <c r="G24" s="14" t="inlineStr">
        <is>
          <t>New categories are created unscoped, so migrated tickets of any type keep them.</t>
        </is>
      </c>
      <c r="H24" s="14" t="inlineStr">
        <is>
          <t>Medium</t>
        </is>
      </c>
      <c r="I24" s="14" t="inlineStr">
        <is>
          <t>12c</t>
        </is>
      </c>
      <c r="J24" s="14" t="inlineStr"/>
      <c r="K24" s="14" t="inlineStr"/>
      <c r="L24" s="14" t="inlineStr"/>
    </row>
    <row r="25">
      <c r="A25" s="15" t="inlineStr">
        <is>
          <t>TC-28-024</t>
        </is>
      </c>
      <c r="B25" s="15" t="inlineStr">
        <is>
          <t>Category hierarchy per ticket type</t>
        </is>
      </c>
      <c r="C25" s="15" t="inlineStr">
        <is>
          <t>Pre-verify</t>
        </is>
      </c>
      <c r="D25" s="15" t="inlineStr">
        <is>
          <t>The app behaves as before if Database Verify has not run</t>
        </is>
      </c>
      <c r="E25" s="15" t="inlineStr">
        <is>
          <t>Code deployed, verify NOT run</t>
        </is>
      </c>
      <c r="F25" s="15" t="inlineStr">
        <is>
          <t>Open a ticket, change its type, open the category picker.</t>
        </is>
      </c>
      <c r="G25" s="15" t="inlineStr">
        <is>
          <t>Every category is offered on every type; nothing errors and no category is cleared.</t>
        </is>
      </c>
      <c r="H25" s="15" t="inlineStr">
        <is>
          <t>High</t>
        </is>
      </c>
      <c r="I25" s="15" t="inlineStr">
        <is>
          <t>12c</t>
        </is>
      </c>
      <c r="J25" s="15" t="inlineStr"/>
      <c r="K25" s="15" t="inlineStr"/>
      <c r="L25" s="15" t="inlineStr"/>
    </row>
  </sheetData>
  <autoFilter ref="A1:L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TC-29-001</t>
        </is>
      </c>
      <c r="B2" s="14" t="inlineStr">
        <is>
          <t>Customer contacts</t>
        </is>
      </c>
      <c r="C2" s="14" t="inlineStr">
        <is>
          <t>Migration</t>
        </is>
      </c>
      <c r="D2" s="14" t="inlineStr">
        <is>
          <t>Verify migrates each customer's inline contact in as its default</t>
        </is>
      </c>
      <c r="E2" s="14" t="inlineStr">
        <is>
          <t>Customers with contact_name/email/phone populated</t>
        </is>
      </c>
      <c r="F2" s="14" t="inlineStr">
        <is>
          <t>Run Database Verify and read the output.</t>
        </is>
      </c>
      <c r="G2" s="14" t="inlineStr">
        <is>
          <t>A line reports how many customer contacts were migrated. The count matches the number of customers that had contact details.</t>
        </is>
      </c>
      <c r="H2" s="14" t="inlineStr">
        <is>
          <t>High</t>
        </is>
      </c>
      <c r="I2" s="14" t="inlineStr">
        <is>
          <t>13a</t>
        </is>
      </c>
      <c r="J2" s="14" t="inlineStr"/>
      <c r="K2" s="14" t="inlineStr"/>
      <c r="L2" s="14" t="inlineStr"/>
    </row>
    <row r="3">
      <c r="A3" s="15" t="inlineStr">
        <is>
          <t>TC-29-002</t>
        </is>
      </c>
      <c r="B3" s="15" t="inlineStr">
        <is>
          <t>Customer contacts</t>
        </is>
      </c>
      <c r="C3" s="15" t="inlineStr">
        <is>
          <t>Migration</t>
        </is>
      </c>
      <c r="D3" s="15" t="inlineStr">
        <is>
          <t>Re-running the verify adds nothing</t>
        </is>
      </c>
      <c r="E3" s="15" t="inlineStr">
        <is>
          <t>Migration already run</t>
        </is>
      </c>
      <c r="F3" s="15" t="inlineStr">
        <is>
          <t>Run Database Verify a second time and re-check the contact count.</t>
        </is>
      </c>
      <c r="G3" s="15" t="inlineStr">
        <is>
          <t>No further contacts are created; no duplicates appear.</t>
        </is>
      </c>
      <c r="H3" s="15" t="inlineStr">
        <is>
          <t>High</t>
        </is>
      </c>
      <c r="I3" s="15" t="inlineStr">
        <is>
          <t>13a</t>
        </is>
      </c>
      <c r="J3" s="15" t="inlineStr"/>
      <c r="K3" s="15" t="inlineStr"/>
      <c r="L3" s="15" t="inlineStr"/>
    </row>
    <row r="4">
      <c r="A4" s="14" t="inlineStr">
        <is>
          <t>TC-29-003</t>
        </is>
      </c>
      <c r="B4" s="14" t="inlineStr">
        <is>
          <t>Customer contacts</t>
        </is>
      </c>
      <c r="C4" s="14" t="inlineStr">
        <is>
          <t>Migration</t>
        </is>
      </c>
      <c r="D4" s="14" t="inlineStr">
        <is>
          <t>A customer with no contact details gets no contact</t>
        </is>
      </c>
      <c r="E4" s="14" t="inlineStr">
        <is>
          <t>A customer with all three contact fields empty</t>
        </is>
      </c>
      <c r="F4" s="14" t="inlineStr">
        <is>
          <t>Run Database Verify and open that customer.</t>
        </is>
      </c>
      <c r="G4" s="14" t="inlineStr">
        <is>
          <t>It has no contacts and no nameless placeholder row.</t>
        </is>
      </c>
      <c r="H4" s="14" t="inlineStr">
        <is>
          <t>Medium</t>
        </is>
      </c>
      <c r="I4" s="14" t="inlineStr">
        <is>
          <t>13a</t>
        </is>
      </c>
      <c r="J4" s="14" t="inlineStr"/>
      <c r="K4" s="14" t="inlineStr"/>
      <c r="L4" s="14" t="inlineStr"/>
    </row>
    <row r="5">
      <c r="A5" s="15" t="inlineStr">
        <is>
          <t>TC-29-004</t>
        </is>
      </c>
      <c r="B5" s="15" t="inlineStr">
        <is>
          <t>Customer contacts</t>
        </is>
      </c>
      <c r="C5" s="15" t="inlineStr">
        <is>
          <t>Migration</t>
        </is>
      </c>
      <c r="D5" s="15" t="inlineStr">
        <is>
          <t>A contact deleted after migration is not resurrected</t>
        </is>
      </c>
      <c r="E5" s="15" t="inlineStr">
        <is>
          <t>Migration run, then the only contact deleted</t>
        </is>
      </c>
      <c r="F5" s="15" t="inlineStr">
        <is>
          <t>Run Database Verify again.</t>
        </is>
      </c>
      <c r="G5" s="15" t="inlineStr">
        <is>
          <t>The contact is not re-created.</t>
        </is>
      </c>
      <c r="H5" s="15" t="inlineStr">
        <is>
          <t>Medium</t>
        </is>
      </c>
      <c r="I5" s="15" t="inlineStr">
        <is>
          <t>13a</t>
        </is>
      </c>
      <c r="J5" s="15" t="inlineStr"/>
      <c r="K5" s="15" t="inlineStr"/>
      <c r="L5" s="15" t="inlineStr"/>
    </row>
    <row r="6">
      <c r="A6" s="14" t="inlineStr">
        <is>
          <t>TC-29-005</t>
        </is>
      </c>
      <c r="B6" s="14" t="inlineStr">
        <is>
          <t>Customer contacts</t>
        </is>
      </c>
      <c r="C6" s="14" t="inlineStr">
        <is>
          <t>Panel</t>
        </is>
      </c>
      <c r="D6" s="14" t="inlineStr">
        <is>
          <t>The contacts panel lists contacts with the default badged</t>
        </is>
      </c>
      <c r="E6" s="14" t="inlineStr">
        <is>
          <t>A customer with three contacts</t>
        </is>
      </c>
      <c r="F6" s="14" t="inlineStr">
        <is>
          <t>Open the customer page.</t>
        </is>
      </c>
      <c r="G6" s="14" t="inlineStr">
        <is>
          <t>All three list with name, job title, email and phone. Exactly one carries a Default badge.</t>
        </is>
      </c>
      <c r="H6" s="14" t="inlineStr">
        <is>
          <t>High</t>
        </is>
      </c>
      <c r="I6" s="14" t="inlineStr">
        <is>
          <t>13a</t>
        </is>
      </c>
      <c r="J6" s="14" t="inlineStr"/>
      <c r="K6" s="14" t="inlineStr"/>
      <c r="L6" s="14" t="inlineStr"/>
    </row>
    <row r="7">
      <c r="A7" s="15" t="inlineStr">
        <is>
          <t>TC-29-006</t>
        </is>
      </c>
      <c r="B7" s="15" t="inlineStr">
        <is>
          <t>Customer contacts</t>
        </is>
      </c>
      <c r="C7" s="15" t="inlineStr">
        <is>
          <t>Panel</t>
        </is>
      </c>
      <c r="D7" s="15" t="inlineStr">
        <is>
          <t>A contact can be added</t>
        </is>
      </c>
      <c r="E7" s="15" t="inlineStr">
        <is>
          <t>Any customer</t>
        </is>
      </c>
      <c r="F7" s="15" t="inlineStr">
        <is>
          <t>Use Add contact, fill name/title/email/phone, save.</t>
        </is>
      </c>
      <c r="G7" s="15" t="inlineStr">
        <is>
          <t>The contact appears in the list.</t>
        </is>
      </c>
      <c r="H7" s="15" t="inlineStr">
        <is>
          <t>High</t>
        </is>
      </c>
      <c r="I7" s="15" t="inlineStr">
        <is>
          <t>13a</t>
        </is>
      </c>
      <c r="J7" s="15" t="inlineStr"/>
      <c r="K7" s="15" t="inlineStr"/>
      <c r="L7" s="15" t="inlineStr"/>
    </row>
    <row r="8">
      <c r="A8" s="14" t="inlineStr">
        <is>
          <t>TC-29-007</t>
        </is>
      </c>
      <c r="B8" s="14" t="inlineStr">
        <is>
          <t>Customer contacts</t>
        </is>
      </c>
      <c r="C8" s="14" t="inlineStr">
        <is>
          <t>Panel</t>
        </is>
      </c>
      <c r="D8" s="14" t="inlineStr">
        <is>
          <t>A customer's first contact becomes the default automatically</t>
        </is>
      </c>
      <c r="E8" s="14" t="inlineStr">
        <is>
          <t>A customer with no contacts</t>
        </is>
      </c>
      <c r="F8" s="14" t="inlineStr">
        <is>
          <t>Add one contact without ticking Default.</t>
        </is>
      </c>
      <c r="G8" s="14" t="inlineStr">
        <is>
          <t>It is created AND marked default, and the customer's contact fields mirror it.</t>
        </is>
      </c>
      <c r="H8" s="14" t="inlineStr">
        <is>
          <t>High</t>
        </is>
      </c>
      <c r="I8" s="14" t="inlineStr">
        <is>
          <t>13a</t>
        </is>
      </c>
      <c r="J8" s="14" t="inlineStr"/>
      <c r="K8" s="14" t="inlineStr"/>
      <c r="L8" s="14" t="inlineStr"/>
    </row>
    <row r="9">
      <c r="A9" s="15" t="inlineStr">
        <is>
          <t>TC-29-008</t>
        </is>
      </c>
      <c r="B9" s="15" t="inlineStr">
        <is>
          <t>Customer contacts</t>
        </is>
      </c>
      <c r="C9" s="15" t="inlineStr">
        <is>
          <t>Panel</t>
        </is>
      </c>
      <c r="D9" s="15" t="inlineStr">
        <is>
          <t>Make default demotes the previous holder</t>
        </is>
      </c>
      <c r="E9" s="15" t="inlineStr">
        <is>
          <t>A customer with two contacts</t>
        </is>
      </c>
      <c r="F9" s="15" t="inlineStr">
        <is>
          <t>Click Make default on the non-default one.</t>
        </is>
      </c>
      <c r="G9" s="15" t="inlineStr">
        <is>
          <t>The badge moves. Exactly one contact is default.</t>
        </is>
      </c>
      <c r="H9" s="15" t="inlineStr">
        <is>
          <t>High</t>
        </is>
      </c>
      <c r="I9" s="15" t="inlineStr">
        <is>
          <t>13a</t>
        </is>
      </c>
      <c r="J9" s="15" t="inlineStr"/>
      <c r="K9" s="15" t="inlineStr"/>
      <c r="L9" s="15" t="inlineStr"/>
    </row>
    <row r="10">
      <c r="A10" s="14" t="inlineStr">
        <is>
          <t>TC-29-009</t>
        </is>
      </c>
      <c r="B10" s="14" t="inlineStr">
        <is>
          <t>Customer contacts</t>
        </is>
      </c>
      <c r="C10" s="14" t="inlineStr">
        <is>
          <t>Mirror</t>
        </is>
      </c>
      <c r="D10" s="14" t="inlineStr">
        <is>
          <t>The customer's contact fields track the default</t>
        </is>
      </c>
      <c r="E10" s="14" t="inlineStr">
        <is>
          <t>A customer with two contacts</t>
        </is>
      </c>
      <c r="F10" s="14" t="inlineStr">
        <is>
          <t>Change which contact is default, then reload the customer page and inspect the top contact fields.</t>
        </is>
      </c>
      <c r="G10" s="14" t="inlineStr">
        <is>
          <t>Contact name, email and phone show the NEW default's details.</t>
        </is>
      </c>
      <c r="H10" s="14" t="inlineStr">
        <is>
          <t>High</t>
        </is>
      </c>
      <c r="I10" s="14" t="inlineStr">
        <is>
          <t>13a</t>
        </is>
      </c>
      <c r="J10" s="14" t="inlineStr"/>
      <c r="K10" s="14" t="inlineStr"/>
      <c r="L10" s="14" t="inlineStr"/>
    </row>
    <row r="11">
      <c r="A11" s="15" t="inlineStr">
        <is>
          <t>TC-29-010</t>
        </is>
      </c>
      <c r="B11" s="15" t="inlineStr">
        <is>
          <t>Customer contacts</t>
        </is>
      </c>
      <c r="C11" s="15" t="inlineStr">
        <is>
          <t>Mirror</t>
        </is>
      </c>
      <c r="D11" s="15" t="inlineStr">
        <is>
          <t>Editing the customer form edits the default contact</t>
        </is>
      </c>
      <c r="E11" s="15" t="inlineStr">
        <is>
          <t>A customer with a default contact</t>
        </is>
      </c>
      <c r="F11" s="15" t="inlineStr">
        <is>
          <t>Change the contact email on the customer form, save, then open the contacts panel.</t>
        </is>
      </c>
      <c r="G11" s="15" t="inlineStr">
        <is>
          <t>The default contact's email has changed to match. The two did not drift apart.</t>
        </is>
      </c>
      <c r="H11" s="15" t="inlineStr">
        <is>
          <t>High</t>
        </is>
      </c>
      <c r="I11" s="15" t="inlineStr">
        <is>
          <t>13a</t>
        </is>
      </c>
      <c r="J11" s="15" t="inlineStr"/>
      <c r="K11" s="15" t="inlineStr"/>
      <c r="L11" s="15" t="inlineStr"/>
    </row>
    <row r="12">
      <c r="A12" s="14" t="inlineStr">
        <is>
          <t>TC-29-011</t>
        </is>
      </c>
      <c r="B12" s="14" t="inlineStr">
        <is>
          <t>Customer contacts</t>
        </is>
      </c>
      <c r="C12" s="14" t="inlineStr">
        <is>
          <t>Mirror</t>
        </is>
      </c>
      <c r="D12" s="14" t="inlineStr">
        <is>
          <t>A new customer's contact details become its first contact</t>
        </is>
      </c>
      <c r="E12" s="14" t="inlineStr">
        <is>
          <t>No customer yet</t>
        </is>
      </c>
      <c r="F12" s="14" t="inlineStr">
        <is>
          <t>Create a customer, filling in contact name and email. Save, then reopen it.</t>
        </is>
      </c>
      <c r="G12" s="14" t="inlineStr">
        <is>
          <t>A default contact exists carrying those details.</t>
        </is>
      </c>
      <c r="H12" s="14" t="inlineStr">
        <is>
          <t>High</t>
        </is>
      </c>
      <c r="I12" s="14" t="inlineStr">
        <is>
          <t>13a</t>
        </is>
      </c>
      <c r="J12" s="14" t="inlineStr"/>
      <c r="K12" s="14" t="inlineStr"/>
      <c r="L12" s="14" t="inlineStr"/>
    </row>
    <row r="13">
      <c r="A13" s="15" t="inlineStr">
        <is>
          <t>TC-29-012</t>
        </is>
      </c>
      <c r="B13" s="15" t="inlineStr">
        <is>
          <t>Customer contacts</t>
        </is>
      </c>
      <c r="C13" s="15" t="inlineStr">
        <is>
          <t>Mirror</t>
        </is>
      </c>
      <c r="D13" s="15" t="inlineStr">
        <is>
          <t>Exports and pickers still read the mirrored columns</t>
        </is>
      </c>
      <c r="E13" s="15" t="inlineStr">
        <is>
          <t>A customer with several contacts</t>
        </is>
      </c>
      <c r="F13" s="15" t="inlineStr">
        <is>
          <t>Export customers, and open the ticket customer picker.</t>
        </is>
      </c>
      <c r="G13" s="15" t="inlineStr">
        <is>
          <t>Both show the default contact's details, exactly as before this release.</t>
        </is>
      </c>
      <c r="H13" s="15" t="inlineStr">
        <is>
          <t>High</t>
        </is>
      </c>
      <c r="I13" s="15" t="inlineStr">
        <is>
          <t>13a</t>
        </is>
      </c>
      <c r="J13" s="15" t="inlineStr"/>
      <c r="K13" s="15" t="inlineStr"/>
      <c r="L13" s="15" t="inlineStr"/>
    </row>
    <row r="14">
      <c r="A14" s="14" t="inlineStr">
        <is>
          <t>TC-29-013</t>
        </is>
      </c>
      <c r="B14" s="14" t="inlineStr">
        <is>
          <t>Customer contacts</t>
        </is>
      </c>
      <c r="C14" s="14" t="inlineStr">
        <is>
          <t>Lifecycle</t>
        </is>
      </c>
      <c r="D14" s="14" t="inlineStr">
        <is>
          <t>Deleting the default promotes another contact</t>
        </is>
      </c>
      <c r="E14" s="14" t="inlineStr">
        <is>
          <t>A customer with three contacts</t>
        </is>
      </c>
      <c r="F14" s="14" t="inlineStr">
        <is>
          <t>Delete the default contact.</t>
        </is>
      </c>
      <c r="G14" s="14" t="inlineStr">
        <is>
          <t>One of the remaining contacts becomes default and the mirror updates to match.</t>
        </is>
      </c>
      <c r="H14" s="14" t="inlineStr">
        <is>
          <t>High</t>
        </is>
      </c>
      <c r="I14" s="14" t="inlineStr">
        <is>
          <t>13a</t>
        </is>
      </c>
      <c r="J14" s="14" t="inlineStr"/>
      <c r="K14" s="14" t="inlineStr"/>
      <c r="L14" s="14" t="inlineStr"/>
    </row>
    <row r="15">
      <c r="A15" s="15" t="inlineStr">
        <is>
          <t>TC-29-014</t>
        </is>
      </c>
      <c r="B15" s="15" t="inlineStr">
        <is>
          <t>Customer contacts</t>
        </is>
      </c>
      <c r="C15" s="15" t="inlineStr">
        <is>
          <t>Lifecycle</t>
        </is>
      </c>
      <c r="D15" s="15" t="inlineStr">
        <is>
          <t>Deleting the last contact leaves the mirror intact</t>
        </is>
      </c>
      <c r="E15" s="15" t="inlineStr">
        <is>
          <t>A customer with exactly one contact</t>
        </is>
      </c>
      <c r="F15" s="15" t="inlineStr">
        <is>
          <t>Delete it.</t>
        </is>
      </c>
      <c r="G15" s="15" t="inlineStr">
        <is>
          <t>The customer's contact_name/email/phone are NOT blanked; the details every export reads survive.</t>
        </is>
      </c>
      <c r="H15" s="15" t="inlineStr">
        <is>
          <t>Medium</t>
        </is>
      </c>
      <c r="I15" s="15" t="inlineStr">
        <is>
          <t>13a</t>
        </is>
      </c>
      <c r="J15" s="15" t="inlineStr"/>
      <c r="K15" s="15" t="inlineStr"/>
      <c r="L15" s="15" t="inlineStr"/>
    </row>
    <row r="16">
      <c r="A16" s="14" t="inlineStr">
        <is>
          <t>TC-29-015</t>
        </is>
      </c>
      <c r="B16" s="14" t="inlineStr">
        <is>
          <t>Customer contacts</t>
        </is>
      </c>
      <c r="C16" s="14" t="inlineStr">
        <is>
          <t>Lifecycle</t>
        </is>
      </c>
      <c r="D16" s="14" t="inlineStr">
        <is>
          <t>Deactivating a contact hands on the default role</t>
        </is>
      </c>
      <c r="E16" s="14" t="inlineStr">
        <is>
          <t>A customer with two contacts, one default</t>
        </is>
      </c>
      <c r="F16" s="14" t="inlineStr">
        <is>
          <t>Edit the default and untick Active.</t>
        </is>
      </c>
      <c r="G16" s="14" t="inlineStr">
        <is>
          <t>The other contact becomes default and the mirror updates.</t>
        </is>
      </c>
      <c r="H16" s="14" t="inlineStr">
        <is>
          <t>Medium</t>
        </is>
      </c>
      <c r="I16" s="14" t="inlineStr">
        <is>
          <t>13a</t>
        </is>
      </c>
      <c r="J16" s="14" t="inlineStr"/>
      <c r="K16" s="14" t="inlineStr"/>
      <c r="L16" s="14" t="inlineStr"/>
    </row>
    <row r="17">
      <c r="A17" s="15" t="inlineStr">
        <is>
          <t>TC-29-016</t>
        </is>
      </c>
      <c r="B17" s="15" t="inlineStr">
        <is>
          <t>Customer contacts</t>
        </is>
      </c>
      <c r="C17" s="15" t="inlineStr">
        <is>
          <t>Ticket</t>
        </is>
      </c>
      <c r="D17" s="15" t="inlineStr">
        <is>
          <t>No picker is shown when there is nothing to choose</t>
        </is>
      </c>
      <c r="E17" s="15" t="inlineStr">
        <is>
          <t>A customer with one contact</t>
        </is>
      </c>
      <c r="F17" s="15" t="inlineStr">
        <is>
          <t>Open a ticket for that customer.</t>
        </is>
      </c>
      <c r="G17" s="15" t="inlineStr">
        <is>
          <t>The default contact's details show as a line of text. No contact dropdown appears.</t>
        </is>
      </c>
      <c r="H17" s="15" t="inlineStr">
        <is>
          <t>Medium</t>
        </is>
      </c>
      <c r="I17" s="15" t="inlineStr">
        <is>
          <t>13a</t>
        </is>
      </c>
      <c r="J17" s="15" t="inlineStr"/>
      <c r="K17" s="15" t="inlineStr"/>
      <c r="L17" s="15" t="inlineStr"/>
    </row>
    <row r="18">
      <c r="A18" s="14" t="inlineStr">
        <is>
          <t>TC-29-017</t>
        </is>
      </c>
      <c r="B18" s="14" t="inlineStr">
        <is>
          <t>Customer contacts</t>
        </is>
      </c>
      <c r="C18" s="14" t="inlineStr">
        <is>
          <t>Ticket</t>
        </is>
      </c>
      <c r="D18" s="14" t="inlineStr">
        <is>
          <t>A picker appears once there are two or more contacts</t>
        </is>
      </c>
      <c r="E18" s="14" t="inlineStr">
        <is>
          <t>A customer with three contacts</t>
        </is>
      </c>
      <c r="F18" s="14" t="inlineStr">
        <is>
          <t>Open a ticket for that customer.</t>
        </is>
      </c>
      <c r="G18" s="14" t="inlineStr">
        <is>
          <t>A contact dropdown appears, defaulting to a 'Default - &lt;name&gt;' option.</t>
        </is>
      </c>
      <c r="H18" s="14" t="inlineStr">
        <is>
          <t>High</t>
        </is>
      </c>
      <c r="I18" s="14" t="inlineStr">
        <is>
          <t>13a</t>
        </is>
      </c>
      <c r="J18" s="14" t="inlineStr"/>
      <c r="K18" s="14" t="inlineStr"/>
      <c r="L18" s="14" t="inlineStr"/>
    </row>
    <row r="19">
      <c r="A19" s="15" t="inlineStr">
        <is>
          <t>TC-29-018</t>
        </is>
      </c>
      <c r="B19" s="15" t="inlineStr">
        <is>
          <t>Customer contacts</t>
        </is>
      </c>
      <c r="C19" s="15" t="inlineStr">
        <is>
          <t>Ticket</t>
        </is>
      </c>
      <c r="D19" s="15" t="inlineStr">
        <is>
          <t>Choosing a contact records it and audits the change</t>
        </is>
      </c>
      <c r="E19" s="15" t="inlineStr">
        <is>
          <t>As above</t>
        </is>
      </c>
      <c r="F19" s="15" t="inlineStr">
        <is>
          <t>Pick a non-default contact.</t>
        </is>
      </c>
      <c r="G19" s="15" t="inlineStr">
        <is>
          <t>The displayed contact details change, and an audit row records the Contact change.</t>
        </is>
      </c>
      <c r="H19" s="15" t="inlineStr">
        <is>
          <t>High</t>
        </is>
      </c>
      <c r="I19" s="15" t="inlineStr">
        <is>
          <t>13a</t>
        </is>
      </c>
      <c r="J19" s="15" t="inlineStr"/>
      <c r="K19" s="15" t="inlineStr"/>
      <c r="L19" s="15" t="inlineStr"/>
    </row>
    <row r="20">
      <c r="A20" s="14" t="inlineStr">
        <is>
          <t>TC-29-019</t>
        </is>
      </c>
      <c r="B20" s="14" t="inlineStr">
        <is>
          <t>Customer contacts</t>
        </is>
      </c>
      <c r="C20" s="14" t="inlineStr">
        <is>
          <t>Ticket</t>
        </is>
      </c>
      <c r="D20" s="14" t="inlineStr">
        <is>
          <t>Leaving the picker on Default keeps following the default</t>
        </is>
      </c>
      <c r="E20" s="14" t="inlineStr">
        <is>
          <t>A ticket with no specific contact chosen</t>
        </is>
      </c>
      <c r="F20" s="14" t="inlineStr">
        <is>
          <t>Change which contact is the customer's default, then reopen the ticket.</t>
        </is>
      </c>
      <c r="G20" s="14" t="inlineStr">
        <is>
          <t>The ticket shows the NEW default. It was not pinned to the old one.</t>
        </is>
      </c>
      <c r="H20" s="14" t="inlineStr">
        <is>
          <t>High</t>
        </is>
      </c>
      <c r="I20" s="14" t="inlineStr">
        <is>
          <t>13a</t>
        </is>
      </c>
      <c r="J20" s="14" t="inlineStr"/>
      <c r="K20" s="14" t="inlineStr"/>
      <c r="L20" s="14" t="inlineStr"/>
    </row>
    <row r="21">
      <c r="A21" s="15" t="inlineStr">
        <is>
          <t>TC-29-020</t>
        </is>
      </c>
      <c r="B21" s="15" t="inlineStr">
        <is>
          <t>Customer contacts</t>
        </is>
      </c>
      <c r="C21" s="15" t="inlineStr">
        <is>
          <t>Ticket</t>
        </is>
      </c>
      <c r="D21" s="15" t="inlineStr">
        <is>
          <t>Changing the customer clears a contact that no longer applies</t>
        </is>
      </c>
      <c r="E21" s="15" t="inlineStr">
        <is>
          <t>A ticket with a specific contact chosen</t>
        </is>
      </c>
      <c r="F21" s="15" t="inlineStr">
        <is>
          <t>Change the ticket's customer to a different company.</t>
        </is>
      </c>
      <c r="G21" s="15" t="inlineStr">
        <is>
          <t>The contact clears, an audit row records it, and the picker reloads for the new customer.</t>
        </is>
      </c>
      <c r="H21" s="15" t="inlineStr">
        <is>
          <t>High</t>
        </is>
      </c>
      <c r="I21" s="15" t="inlineStr">
        <is>
          <t>13a</t>
        </is>
      </c>
      <c r="J21" s="15" t="inlineStr"/>
      <c r="K21" s="15" t="inlineStr"/>
      <c r="L21" s="15" t="inlineStr"/>
    </row>
    <row r="22">
      <c r="A22" s="14" t="inlineStr">
        <is>
          <t>TC-29-021</t>
        </is>
      </c>
      <c r="B22" s="14" t="inlineStr">
        <is>
          <t>Customer contacts</t>
        </is>
      </c>
      <c r="C22" s="14" t="inlineStr">
        <is>
          <t>Ticket</t>
        </is>
      </c>
      <c r="D22" s="14" t="inlineStr">
        <is>
          <t>An explicitly mismatched contact is refused</t>
        </is>
      </c>
      <c r="E22" s="14" t="inlineStr">
        <is>
          <t>Two customers, each with contacts</t>
        </is>
      </c>
      <c r="F22" s="14" t="inlineStr">
        <is>
          <t>Via the API, set customer_id to customer A and customer_contact_id to a contact of customer B in one call.</t>
        </is>
      </c>
      <c r="G22" s="14" t="inlineStr">
        <is>
          <t>The request is refused with 'That contact does not belong to the selected customer.'</t>
        </is>
      </c>
      <c r="H22" s="14" t="inlineStr">
        <is>
          <t>High</t>
        </is>
      </c>
      <c r="I22" s="14" t="inlineStr">
        <is>
          <t>13a</t>
        </is>
      </c>
      <c r="J22" s="14" t="inlineStr"/>
      <c r="K22" s="14" t="inlineStr"/>
      <c r="L22" s="14" t="inlineStr"/>
    </row>
    <row r="23">
      <c r="A23" s="15" t="inlineStr">
        <is>
          <t>TC-29-022</t>
        </is>
      </c>
      <c r="B23" s="15" t="inlineStr">
        <is>
          <t>Customer contacts</t>
        </is>
      </c>
      <c r="C23" s="15" t="inlineStr">
        <is>
          <t>Ticket</t>
        </is>
      </c>
      <c r="D23" s="15" t="inlineStr">
        <is>
          <t>Deleting a contact a ticket names falls back to the default</t>
        </is>
      </c>
      <c r="E23" s="15" t="inlineStr">
        <is>
          <t>A ticket naming a specific contact</t>
        </is>
      </c>
      <c r="F23" s="15" t="inlineStr">
        <is>
          <t>Delete that contact, then reopen the ticket.</t>
        </is>
      </c>
      <c r="G23" s="15" t="inlineStr">
        <is>
          <t>The ticket still opens and shows the customer's default contact. Nothing is orphaned.</t>
        </is>
      </c>
      <c r="H23" s="15" t="inlineStr">
        <is>
          <t>High</t>
        </is>
      </c>
      <c r="I23" s="15" t="inlineStr">
        <is>
          <t>13a</t>
        </is>
      </c>
      <c r="J23" s="15" t="inlineStr"/>
      <c r="K23" s="15" t="inlineStr"/>
      <c r="L23" s="15" t="inlineStr"/>
    </row>
    <row r="24">
      <c r="A24" s="14" t="inlineStr">
        <is>
          <t>TC-29-023</t>
        </is>
      </c>
      <c r="B24" s="14" t="inlineStr">
        <is>
          <t>Customer contacts</t>
        </is>
      </c>
      <c r="C24" s="14" t="inlineStr">
        <is>
          <t>Pre-verify</t>
        </is>
      </c>
      <c r="D24" s="14" t="inlineStr">
        <is>
          <t>The customer page works before Database Verify</t>
        </is>
      </c>
      <c r="E24" s="14" t="inlineStr">
        <is>
          <t>Code deployed, verify NOT run</t>
        </is>
      </c>
      <c r="F24" s="14" t="inlineStr">
        <is>
          <t>Open the customers page and a ticket with a customer.</t>
        </is>
      </c>
      <c r="G24" s="14" t="inlineStr">
        <is>
          <t>The single inline contact shows as before; the contacts panel explains that Database Verify is needed. Nothing errors.</t>
        </is>
      </c>
      <c r="H24" s="14" t="inlineStr">
        <is>
          <t>High</t>
        </is>
      </c>
      <c r="I24" s="14" t="inlineStr">
        <is>
          <t>13a</t>
        </is>
      </c>
      <c r="J24" s="14" t="inlineStr"/>
      <c r="K24" s="14" t="inlineStr"/>
      <c r="L24" s="14" t="inlineStr"/>
    </row>
  </sheetData>
  <autoFilter ref="A1:L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TC-30-001</t>
        </is>
      </c>
      <c r="B2" s="14" t="inlineStr">
        <is>
          <t>Portal users linked to customers</t>
        </is>
      </c>
      <c r="C2" s="14" t="inlineStr">
        <is>
          <t>Setup</t>
        </is>
      </c>
      <c r="D2" s="14" t="inlineStr">
        <is>
          <t>Database Verify adds the user link</t>
        </is>
      </c>
      <c r="E2" s="14" t="inlineStr">
        <is>
          <t>An install upgraded to this release</t>
        </is>
      </c>
      <c r="F2" s="14" t="inlineStr">
        <is>
          <t>Run Database Verify, then open a customer page.</t>
        </is>
      </c>
      <c r="G2" s="14" t="inlineStr">
        <is>
          <t>users.customer_id exists and a Portal users panel appears.</t>
        </is>
      </c>
      <c r="H2" s="14" t="inlineStr">
        <is>
          <t>High</t>
        </is>
      </c>
      <c r="I2" s="14" t="inlineStr">
        <is>
          <t>13b</t>
        </is>
      </c>
      <c r="J2" s="14" t="inlineStr"/>
      <c r="K2" s="14" t="inlineStr"/>
      <c r="L2" s="14" t="inlineStr"/>
    </row>
    <row r="3">
      <c r="A3" s="15" t="inlineStr">
        <is>
          <t>TC-30-002</t>
        </is>
      </c>
      <c r="B3" s="15" t="inlineStr">
        <is>
          <t>Portal users linked to customers</t>
        </is>
      </c>
      <c r="C3" s="15" t="inlineStr">
        <is>
          <t>Panel</t>
        </is>
      </c>
      <c r="D3" s="15" t="inlineStr">
        <is>
          <t>Linked users are listed</t>
        </is>
      </c>
      <c r="E3" s="15" t="inlineStr">
        <is>
          <t>A customer with linked users</t>
        </is>
      </c>
      <c r="F3" s="15" t="inlineStr">
        <is>
          <t>Open the customer page.</t>
        </is>
      </c>
      <c r="G3" s="15" t="inlineStr">
        <is>
          <t>Each linked user lists with display name and email.</t>
        </is>
      </c>
      <c r="H3" s="15" t="inlineStr">
        <is>
          <t>High</t>
        </is>
      </c>
      <c r="I3" s="15" t="inlineStr">
        <is>
          <t>13b</t>
        </is>
      </c>
      <c r="J3" s="15" t="inlineStr"/>
      <c r="K3" s="15" t="inlineStr"/>
      <c r="L3" s="15" t="inlineStr"/>
    </row>
    <row r="4">
      <c r="A4" s="14" t="inlineStr">
        <is>
          <t>TC-30-003</t>
        </is>
      </c>
      <c r="B4" s="14" t="inlineStr">
        <is>
          <t>Portal users linked to customers</t>
        </is>
      </c>
      <c r="C4" s="14" t="inlineStr">
        <is>
          <t>Link</t>
        </is>
      </c>
      <c r="D4" s="14" t="inlineStr">
        <is>
          <t>An existing user can be linked by email</t>
        </is>
      </c>
      <c r="E4" s="14" t="inlineStr">
        <is>
          <t>A self-registered portal user not attached to any customer</t>
        </is>
      </c>
      <c r="F4" s="14" t="inlineStr">
        <is>
          <t>Use Link existing user, enter their email, submit.</t>
        </is>
      </c>
      <c r="G4" s="14" t="inlineStr">
        <is>
          <t>They appear in the panel.</t>
        </is>
      </c>
      <c r="H4" s="14" t="inlineStr">
        <is>
          <t>High</t>
        </is>
      </c>
      <c r="I4" s="14" t="inlineStr">
        <is>
          <t>13b</t>
        </is>
      </c>
      <c r="J4" s="14" t="inlineStr"/>
      <c r="K4" s="14" t="inlineStr"/>
      <c r="L4" s="14" t="inlineStr"/>
    </row>
    <row r="5">
      <c r="A5" s="15" t="inlineStr">
        <is>
          <t>TC-30-004</t>
        </is>
      </c>
      <c r="B5" s="15" t="inlineStr">
        <is>
          <t>Portal users linked to customers</t>
        </is>
      </c>
      <c r="C5" s="15" t="inlineStr">
        <is>
          <t>Link</t>
        </is>
      </c>
      <c r="D5" s="15" t="inlineStr">
        <is>
          <t>An unknown email is reported, not silently ignored</t>
        </is>
      </c>
      <c r="E5" s="15" t="inlineStr">
        <is>
          <t>Any customer</t>
        </is>
      </c>
      <c r="F5" s="15" t="inlineStr">
        <is>
          <t>Link an email address that has no portal user.</t>
        </is>
      </c>
      <c r="G5" s="15" t="inlineStr">
        <is>
          <t>An error says no portal user has that address. Nothing is created.</t>
        </is>
      </c>
      <c r="H5" s="15" t="inlineStr">
        <is>
          <t>High</t>
        </is>
      </c>
      <c r="I5" s="15" t="inlineStr">
        <is>
          <t>13b</t>
        </is>
      </c>
      <c r="J5" s="15" t="inlineStr"/>
      <c r="K5" s="15" t="inlineStr"/>
      <c r="L5" s="15" t="inlineStr"/>
    </row>
    <row r="6">
      <c r="A6" s="14" t="inlineStr">
        <is>
          <t>TC-30-005</t>
        </is>
      </c>
      <c r="B6" s="14" t="inlineStr">
        <is>
          <t>Portal users linked to customers</t>
        </is>
      </c>
      <c r="C6" s="14" t="inlineStr">
        <is>
          <t>Link</t>
        </is>
      </c>
      <c r="D6" s="14" t="inlineStr">
        <is>
          <t>A user already linked elsewhere is refused by name</t>
        </is>
      </c>
      <c r="E6" s="14" t="inlineStr">
        <is>
          <t>A user linked to customer 'Acme'</t>
        </is>
      </c>
      <c r="F6" s="14" t="inlineStr">
        <is>
          <t>Try to link that user to customer 'Beta'.</t>
        </is>
      </c>
      <c r="G6" s="14" t="inlineStr">
        <is>
          <t>The error names Acme and says to unlink them there first. The link is not moved.</t>
        </is>
      </c>
      <c r="H6" s="14" t="inlineStr">
        <is>
          <t>High</t>
        </is>
      </c>
      <c r="I6" s="14" t="inlineStr">
        <is>
          <t>13b</t>
        </is>
      </c>
      <c r="J6" s="14" t="inlineStr"/>
      <c r="K6" s="14" t="inlineStr"/>
      <c r="L6" s="14" t="inlineStr"/>
    </row>
    <row r="7">
      <c r="A7" s="15" t="inlineStr">
        <is>
          <t>TC-30-006</t>
        </is>
      </c>
      <c r="B7" s="15" t="inlineStr">
        <is>
          <t>Portal users linked to customers</t>
        </is>
      </c>
      <c r="C7" s="15" t="inlineStr">
        <is>
          <t>Link</t>
        </is>
      </c>
      <c r="D7" s="15" t="inlineStr">
        <is>
          <t>Unlinking keeps the account</t>
        </is>
      </c>
      <c r="E7" s="15" t="inlineStr">
        <is>
          <t>A linked user</t>
        </is>
      </c>
      <c r="F7" s="15" t="inlineStr">
        <is>
          <t>Click Unlink and confirm.</t>
        </is>
      </c>
      <c r="G7" s="15" t="inlineStr">
        <is>
          <t>They leave the panel but the portal account still exists and can still log in.</t>
        </is>
      </c>
      <c r="H7" s="15" t="inlineStr">
        <is>
          <t>High</t>
        </is>
      </c>
      <c r="I7" s="15" t="inlineStr">
        <is>
          <t>13b</t>
        </is>
      </c>
      <c r="J7" s="15" t="inlineStr"/>
      <c r="K7" s="15" t="inlineStr"/>
      <c r="L7" s="15" t="inlineStr"/>
    </row>
    <row r="8">
      <c r="A8" s="14" t="inlineStr">
        <is>
          <t>TC-30-007</t>
        </is>
      </c>
      <c r="B8" s="14" t="inlineStr">
        <is>
          <t>Portal users linked to customers</t>
        </is>
      </c>
      <c r="C8" s="14" t="inlineStr">
        <is>
          <t>Create</t>
        </is>
      </c>
      <c r="D8" s="14" t="inlineStr">
        <is>
          <t>A user can be created inline, without a password</t>
        </is>
      </c>
      <c r="E8" s="14" t="inlineStr">
        <is>
          <t>Any customer</t>
        </is>
      </c>
      <c r="F8" s="14" t="inlineStr">
        <is>
          <t>Use Create user, supply email and display name, submit.</t>
        </is>
      </c>
      <c r="G8" s="14" t="inlineStr">
        <is>
          <t>The user appears in the panel carrying a 'Not signed up' badge. No password was requested or shown.</t>
        </is>
      </c>
      <c r="H8" s="14" t="inlineStr">
        <is>
          <t>High</t>
        </is>
      </c>
      <c r="I8" s="14" t="inlineStr">
        <is>
          <t>13b</t>
        </is>
      </c>
      <c r="J8" s="14" t="inlineStr"/>
      <c r="K8" s="14" t="inlineStr"/>
      <c r="L8" s="14" t="inlineStr"/>
    </row>
    <row r="9">
      <c r="A9" s="15" t="inlineStr">
        <is>
          <t>TC-30-008</t>
        </is>
      </c>
      <c r="B9" s="15" t="inlineStr">
        <is>
          <t>Portal users linked to customers</t>
        </is>
      </c>
      <c r="C9" s="15" t="inlineStr">
        <is>
          <t>Create</t>
        </is>
      </c>
      <c r="D9" s="15" t="inlineStr">
        <is>
          <t>The account can be claimed from the portal</t>
        </is>
      </c>
      <c r="E9" s="15" t="inlineStr">
        <is>
          <t>A created, unclaimed user</t>
        </is>
      </c>
      <c r="F9" s="15" t="inlineStr">
        <is>
          <t>On the self-service portal, register with that exact email address and choose a password.</t>
        </is>
      </c>
      <c r="G9" s="15" t="inlineStr">
        <is>
          <t>Registration succeeds by CLAIMING the existing row, not creating a second user. The customer link survives.</t>
        </is>
      </c>
      <c r="H9" s="15" t="inlineStr">
        <is>
          <t>High</t>
        </is>
      </c>
      <c r="I9" s="15" t="inlineStr">
        <is>
          <t>13b</t>
        </is>
      </c>
      <c r="J9" s="15" t="inlineStr"/>
      <c r="K9" s="15" t="inlineStr"/>
      <c r="L9" s="15" t="inlineStr"/>
    </row>
    <row r="10">
      <c r="A10" s="14" t="inlineStr">
        <is>
          <t>TC-30-009</t>
        </is>
      </c>
      <c r="B10" s="14" t="inlineStr">
        <is>
          <t>Portal users linked to customers</t>
        </is>
      </c>
      <c r="C10" s="14" t="inlineStr">
        <is>
          <t>Create</t>
        </is>
      </c>
      <c r="D10" s="14" t="inlineStr">
        <is>
          <t>The badge clears once the account is claimed</t>
        </is>
      </c>
      <c r="E10" s="14" t="inlineStr">
        <is>
          <t>As above</t>
        </is>
      </c>
      <c r="F10" s="14" t="inlineStr">
        <is>
          <t>Reopen the customer page.</t>
        </is>
      </c>
      <c r="G10" s="14" t="inlineStr">
        <is>
          <t>The 'Not signed up' badge is gone.</t>
        </is>
      </c>
      <c r="H10" s="14" t="inlineStr">
        <is>
          <t>Medium</t>
        </is>
      </c>
      <c r="I10" s="14" t="inlineStr">
        <is>
          <t>13b</t>
        </is>
      </c>
      <c r="J10" s="14" t="inlineStr"/>
      <c r="K10" s="14" t="inlineStr"/>
      <c r="L10" s="14" t="inlineStr"/>
    </row>
    <row r="11">
      <c r="A11" s="15" t="inlineStr">
        <is>
          <t>TC-30-010</t>
        </is>
      </c>
      <c r="B11" s="15" t="inlineStr">
        <is>
          <t>Portal users linked to customers</t>
        </is>
      </c>
      <c r="C11" s="15" t="inlineStr">
        <is>
          <t>Create</t>
        </is>
      </c>
      <c r="D11" s="15" t="inlineStr">
        <is>
          <t>An analyst's address is refused</t>
        </is>
      </c>
      <c r="E11" s="15" t="inlineStr">
        <is>
          <t>An analyst account with a known email</t>
        </is>
      </c>
      <c r="F11" s="15" t="inlineStr">
        <is>
          <t>Try to create a portal user with that address.</t>
        </is>
      </c>
      <c r="G11" s="15" t="inlineStr">
        <is>
          <t>It is refused with a message that the address belongs to an analyst account.</t>
        </is>
      </c>
      <c r="H11" s="15" t="inlineStr">
        <is>
          <t>High</t>
        </is>
      </c>
      <c r="I11" s="15" t="inlineStr">
        <is>
          <t>13b</t>
        </is>
      </c>
      <c r="J11" s="15" t="inlineStr"/>
      <c r="K11" s="15" t="inlineStr"/>
      <c r="L11" s="15" t="inlineStr"/>
    </row>
    <row r="12">
      <c r="A12" s="14" t="inlineStr">
        <is>
          <t>TC-30-011</t>
        </is>
      </c>
      <c r="B12" s="14" t="inlineStr">
        <is>
          <t>Portal users linked to customers</t>
        </is>
      </c>
      <c r="C12" s="14" t="inlineStr">
        <is>
          <t>Create</t>
        </is>
      </c>
      <c r="D12" s="14" t="inlineStr">
        <is>
          <t>An existing unattached user is linked rather than duplicated</t>
        </is>
      </c>
      <c r="E12" s="14" t="inlineStr">
        <is>
          <t>An unattached portal user</t>
        </is>
      </c>
      <c r="F12" s="14" t="inlineStr">
        <is>
          <t>Use Create user with that same email.</t>
        </is>
      </c>
      <c r="G12" s="14" t="inlineStr">
        <is>
          <t>The existing account is linked to the customer. No second user row is created and no unique-index error is shown.</t>
        </is>
      </c>
      <c r="H12" s="14" t="inlineStr">
        <is>
          <t>High</t>
        </is>
      </c>
      <c r="I12" s="14" t="inlineStr">
        <is>
          <t>13b</t>
        </is>
      </c>
      <c r="J12" s="14" t="inlineStr"/>
      <c r="K12" s="14" t="inlineStr"/>
      <c r="L12" s="14" t="inlineStr"/>
    </row>
    <row r="13">
      <c r="A13" s="15" t="inlineStr">
        <is>
          <t>TC-30-012</t>
        </is>
      </c>
      <c r="B13" s="15" t="inlineStr">
        <is>
          <t>Portal users linked to customers</t>
        </is>
      </c>
      <c r="C13" s="15" t="inlineStr">
        <is>
          <t>Create</t>
        </is>
      </c>
      <c r="D13" s="15" t="inlineStr">
        <is>
          <t>A user belonging to another customer is refused</t>
        </is>
      </c>
      <c r="E13" s="15" t="inlineStr">
        <is>
          <t>A user linked to another customer</t>
        </is>
      </c>
      <c r="F13" s="15" t="inlineStr">
        <is>
          <t>Use Create user with that email.</t>
        </is>
      </c>
      <c r="G13" s="15" t="inlineStr">
        <is>
          <t>It is refused, saying they already belong to another customer.</t>
        </is>
      </c>
      <c r="H13" s="15" t="inlineStr">
        <is>
          <t>High</t>
        </is>
      </c>
      <c r="I13" s="15" t="inlineStr">
        <is>
          <t>13b</t>
        </is>
      </c>
      <c r="J13" s="15" t="inlineStr"/>
      <c r="K13" s="15" t="inlineStr"/>
      <c r="L13" s="15" t="inlineStr"/>
    </row>
    <row r="14">
      <c r="A14" s="14" t="inlineStr">
        <is>
          <t>TC-30-013</t>
        </is>
      </c>
      <c r="B14" s="14" t="inlineStr">
        <is>
          <t>Portal users linked to customers</t>
        </is>
      </c>
      <c r="C14" s="14" t="inlineStr">
        <is>
          <t>Inference</t>
        </is>
      </c>
      <c r="D14" s="14" t="inlineStr">
        <is>
          <t>A portal ticket is attributed to the user's customer</t>
        </is>
      </c>
      <c r="E14" s="14" t="inlineStr">
        <is>
          <t>A linked, claimed portal user</t>
        </is>
      </c>
      <c r="F14" s="14" t="inlineStr">
        <is>
          <t>Log into the self-service portal as that user and raise a ticket.</t>
        </is>
      </c>
      <c r="G14" s="14" t="inlineStr">
        <is>
          <t>The ticket arrives with the customer already set, with no analyst action.</t>
        </is>
      </c>
      <c r="H14" s="14" t="inlineStr">
        <is>
          <t>High</t>
        </is>
      </c>
      <c r="I14" s="14" t="inlineStr">
        <is>
          <t>13b</t>
        </is>
      </c>
      <c r="J14" s="14" t="inlineStr"/>
      <c r="K14" s="14" t="inlineStr"/>
      <c r="L14" s="14" t="inlineStr"/>
    </row>
    <row r="15">
      <c r="A15" s="15" t="inlineStr">
        <is>
          <t>TC-30-014</t>
        </is>
      </c>
      <c r="B15" s="15" t="inlineStr">
        <is>
          <t>Portal users linked to customers</t>
        </is>
      </c>
      <c r="C15" s="15" t="inlineStr">
        <is>
          <t>Inference</t>
        </is>
      </c>
      <c r="D15" s="15" t="inlineStr">
        <is>
          <t>A ticket created through the service infers the customer too</t>
        </is>
      </c>
      <c r="E15" s="15" t="inlineStr">
        <is>
          <t>A linked user</t>
        </is>
      </c>
      <c r="F15" s="15" t="inlineStr">
        <is>
          <t>Create a ticket via the API using that user's email as requester_email, without naming a customer.</t>
        </is>
      </c>
      <c r="G15" s="15" t="inlineStr">
        <is>
          <t>The ticket's customer is set from the link.</t>
        </is>
      </c>
      <c r="H15" s="15" t="inlineStr">
        <is>
          <t>High</t>
        </is>
      </c>
      <c r="I15" s="15" t="inlineStr">
        <is>
          <t>13b</t>
        </is>
      </c>
      <c r="J15" s="15" t="inlineStr"/>
      <c r="K15" s="15" t="inlineStr"/>
      <c r="L15" s="15" t="inlineStr"/>
    </row>
    <row r="16">
      <c r="A16" s="14" t="inlineStr">
        <is>
          <t>TC-30-015</t>
        </is>
      </c>
      <c r="B16" s="14" t="inlineStr">
        <is>
          <t>Portal users linked to customers</t>
        </is>
      </c>
      <c r="C16" s="14" t="inlineStr">
        <is>
          <t>Inference</t>
        </is>
      </c>
      <c r="D16" s="14" t="inlineStr">
        <is>
          <t>An explicit customer wins over the inference</t>
        </is>
      </c>
      <c r="E16" s="14" t="inlineStr">
        <is>
          <t>A linked user</t>
        </is>
      </c>
      <c r="F16" s="14" t="inlineStr">
        <is>
          <t>Create a ticket for that requester while explicitly naming a DIFFERENT customer.</t>
        </is>
      </c>
      <c r="G16" s="14" t="inlineStr">
        <is>
          <t>The explicitly named customer is used.</t>
        </is>
      </c>
      <c r="H16" s="14" t="inlineStr">
        <is>
          <t>High</t>
        </is>
      </c>
      <c r="I16" s="14" t="inlineStr">
        <is>
          <t>13b</t>
        </is>
      </c>
      <c r="J16" s="14" t="inlineStr"/>
      <c r="K16" s="14" t="inlineStr"/>
      <c r="L16" s="14" t="inlineStr"/>
    </row>
    <row r="17">
      <c r="A17" s="15" t="inlineStr">
        <is>
          <t>TC-30-016</t>
        </is>
      </c>
      <c r="B17" s="15" t="inlineStr">
        <is>
          <t>Portal users linked to customers</t>
        </is>
      </c>
      <c r="C17" s="15" t="inlineStr">
        <is>
          <t>Inference</t>
        </is>
      </c>
      <c r="D17" s="15" t="inlineStr">
        <is>
          <t>An unlinked requester leaves the customer empty</t>
        </is>
      </c>
      <c r="E17" s="15" t="inlineStr">
        <is>
          <t>A portal user with no customer link</t>
        </is>
      </c>
      <c r="F17" s="15" t="inlineStr">
        <is>
          <t>Raise a ticket as that user.</t>
        </is>
      </c>
      <c r="G17" s="15" t="inlineStr">
        <is>
          <t>The ticket has no customer, exactly as before this release.</t>
        </is>
      </c>
      <c r="H17" s="15" t="inlineStr">
        <is>
          <t>Medium</t>
        </is>
      </c>
      <c r="I17" s="15" t="inlineStr">
        <is>
          <t>13b</t>
        </is>
      </c>
      <c r="J17" s="15" t="inlineStr"/>
      <c r="K17" s="15" t="inlineStr"/>
      <c r="L17" s="15" t="inlineStr"/>
    </row>
    <row r="18">
      <c r="A18" s="14" t="inlineStr">
        <is>
          <t>TC-30-017</t>
        </is>
      </c>
      <c r="B18" s="14" t="inlineStr">
        <is>
          <t>Portal users linked to customers</t>
        </is>
      </c>
      <c r="C18" s="14" t="inlineStr">
        <is>
          <t>Cascade</t>
        </is>
      </c>
      <c r="D18" s="14" t="inlineStr">
        <is>
          <t>Deleting a customer keeps its users</t>
        </is>
      </c>
      <c r="E18" s="14" t="inlineStr">
        <is>
          <t>A customer with linked users</t>
        </is>
      </c>
      <c r="F18" s="14" t="inlineStr">
        <is>
          <t>Delete the customer.</t>
        </is>
      </c>
      <c r="G18" s="14" t="inlineStr">
        <is>
          <t>The portal accounts still exist and can still log in; they are simply unattached.</t>
        </is>
      </c>
      <c r="H18" s="14" t="inlineStr">
        <is>
          <t>High</t>
        </is>
      </c>
      <c r="I18" s="14" t="inlineStr">
        <is>
          <t>13b</t>
        </is>
      </c>
      <c r="J18" s="14" t="inlineStr"/>
      <c r="K18" s="14" t="inlineStr"/>
      <c r="L18" s="14" t="inlineStr"/>
    </row>
    <row r="19">
      <c r="A19" s="15" t="inlineStr">
        <is>
          <t>TC-30-018</t>
        </is>
      </c>
      <c r="B19" s="15" t="inlineStr">
        <is>
          <t>Portal users linked to customers</t>
        </is>
      </c>
      <c r="C19" s="15" t="inlineStr">
        <is>
          <t>Pre-verify</t>
        </is>
      </c>
      <c r="D19" s="15" t="inlineStr">
        <is>
          <t>The customer page works before Database Verify</t>
        </is>
      </c>
      <c r="E19" s="15" t="inlineStr">
        <is>
          <t>Code deployed, verify NOT run</t>
        </is>
      </c>
      <c r="F19" s="15" t="inlineStr">
        <is>
          <t>Open a customer page.</t>
        </is>
      </c>
      <c r="G19" s="15" t="inlineStr">
        <is>
          <t>The Portal users panel explains that Database Verify is needed. Nothing errors.</t>
        </is>
      </c>
      <c r="H19" s="15" t="inlineStr">
        <is>
          <t>High</t>
        </is>
      </c>
      <c r="I19" s="15" t="inlineStr">
        <is>
          <t>13b</t>
        </is>
      </c>
      <c r="J19" s="15" t="inlineStr"/>
      <c r="K19" s="15" t="inlineStr"/>
      <c r="L19" s="15" t="inlineStr"/>
    </row>
  </sheetData>
  <autoFilter ref="A1:L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TC-31-001</t>
        </is>
      </c>
      <c r="B2" s="14" t="inlineStr">
        <is>
          <t>Knowledge KPIs computed</t>
        </is>
      </c>
      <c r="C2" s="14" t="inlineStr">
        <is>
          <t>Status</t>
        </is>
      </c>
      <c r="D2" s="14" t="inlineStr">
        <is>
          <t>The three knowledge metrics report as computed</t>
        </is>
      </c>
      <c r="E2" s="14" t="inlineStr">
        <is>
          <t>An install upgraded to this release</t>
        </is>
      </c>
      <c r="F2" s="14" t="inlineStr">
        <is>
          <t>Run Database Verify, then open the KPI scorecard and inspect the source badges.</t>
        </is>
      </c>
      <c r="G2" s="14" t="inlineStr">
        <is>
          <t>The three 'Knowledge base articles' metrics show Ready, not Manual.</t>
        </is>
      </c>
      <c r="H2" s="14" t="inlineStr">
        <is>
          <t>High</t>
        </is>
      </c>
      <c r="I2" s="14" t="inlineStr">
        <is>
          <t>14a</t>
        </is>
      </c>
      <c r="J2" s="14" t="inlineStr"/>
      <c r="K2" s="14" t="inlineStr"/>
      <c r="L2" s="14" t="inlineStr"/>
    </row>
    <row r="3">
      <c r="A3" s="15" t="inlineStr">
        <is>
          <t>TC-31-002</t>
        </is>
      </c>
      <c r="B3" s="15" t="inlineStr">
        <is>
          <t>Knowledge KPIs computed</t>
        </is>
      </c>
      <c r="C3" s="15" t="inlineStr">
        <is>
          <t>Status</t>
        </is>
      </c>
      <c r="D3" s="15" t="inlineStr">
        <is>
          <t>A fresh install also reports them as computed</t>
        </is>
      </c>
      <c r="E3" s="15" t="inlineStr">
        <is>
          <t>A brand-new database created from database/freeitsm.sql</t>
        </is>
      </c>
      <c r="F3" s="15" t="inlineStr">
        <is>
          <t>Run Database Verify on the fresh install and inspect the same metrics.</t>
        </is>
      </c>
      <c r="G3" s="15" t="inlineStr">
        <is>
          <t>They are Ready. The seed values, not only the upgrade path, carry the computed status.</t>
        </is>
      </c>
      <c r="H3" s="15" t="inlineStr">
        <is>
          <t>High</t>
        </is>
      </c>
      <c r="I3" s="15" t="inlineStr">
        <is>
          <t>14a</t>
        </is>
      </c>
      <c r="J3" s="15" t="inlineStr"/>
      <c r="K3" s="15" t="inlineStr"/>
      <c r="L3" s="15" t="inlineStr"/>
    </row>
    <row r="4">
      <c r="A4" s="14" t="inlineStr">
        <is>
          <t>TC-31-003</t>
        </is>
      </c>
      <c r="B4" s="14" t="inlineStr">
        <is>
          <t>Knowledge KPIs computed</t>
        </is>
      </c>
      <c r="C4" s="14" t="inlineStr">
        <is>
          <t>Calculation</t>
        </is>
      </c>
      <c r="D4" s="14" t="inlineStr">
        <is>
          <t>Articles created in the month count against the author's tier</t>
        </is>
      </c>
      <c r="E4" s="14" t="inlineStr">
        <is>
          <t>KB articles created this month by authors of known tiers</t>
        </is>
      </c>
      <c r="F4" s="14" t="inlineStr">
        <is>
          <t>Run cron/kpi_snapshot.php for the current period and read the scorecard.</t>
        </is>
      </c>
      <c r="G4" s="14" t="inlineStr">
        <is>
          <t>Each tier's figure matches the number of articles created that month by authors of that tier.</t>
        </is>
      </c>
      <c r="H4" s="14" t="inlineStr">
        <is>
          <t>High</t>
        </is>
      </c>
      <c r="I4" s="14" t="inlineStr">
        <is>
          <t>14a</t>
        </is>
      </c>
      <c r="J4" s="14" t="inlineStr"/>
      <c r="K4" s="14" t="inlineStr"/>
      <c r="L4" s="14" t="inlineStr"/>
    </row>
    <row r="5">
      <c r="A5" s="15" t="inlineStr">
        <is>
          <t>TC-31-004</t>
        </is>
      </c>
      <c r="B5" s="15" t="inlineStr">
        <is>
          <t>Knowledge KPIs computed</t>
        </is>
      </c>
      <c r="C5" s="15" t="inlineStr">
        <is>
          <t>Calculation</t>
        </is>
      </c>
      <c r="D5" s="15" t="inlineStr">
        <is>
          <t>Versions saved in the month also count</t>
        </is>
      </c>
      <c r="E5" s="15" t="inlineStr">
        <is>
          <t>An article created in a previous month, revised this month</t>
        </is>
      </c>
      <c r="F5" s="15" t="inlineStr">
        <is>
          <t>Re-run the snapshot for this month.</t>
        </is>
      </c>
      <c r="G5" s="15" t="inlineStr">
        <is>
          <t>The revision counts towards the saver's tier for this month.</t>
        </is>
      </c>
      <c r="H5" s="15" t="inlineStr">
        <is>
          <t>High</t>
        </is>
      </c>
      <c r="I5" s="15" t="inlineStr">
        <is>
          <t>14a</t>
        </is>
      </c>
      <c r="J5" s="15" t="inlineStr"/>
      <c r="K5" s="15" t="inlineStr"/>
      <c r="L5" s="15" t="inlineStr"/>
    </row>
    <row r="6">
      <c r="A6" s="14" t="inlineStr">
        <is>
          <t>TC-31-005</t>
        </is>
      </c>
      <c r="B6" s="14" t="inlineStr">
        <is>
          <t>Knowledge KPIs computed</t>
        </is>
      </c>
      <c r="C6" s="14" t="inlineStr">
        <is>
          <t>Calculation</t>
        </is>
      </c>
      <c r="D6" s="14" t="inlineStr">
        <is>
          <t>One article revised repeatedly counts once</t>
        </is>
      </c>
      <c r="E6" s="14" t="inlineStr">
        <is>
          <t>An article revised three times this month by the same author</t>
        </is>
      </c>
      <c r="F6" s="14" t="inlineStr">
        <is>
          <t>Re-run the snapshot and read the figure.</t>
        </is>
      </c>
      <c r="G6" s="14" t="inlineStr">
        <is>
          <t>It contributes 1, not 3. Results are de-duplicated per article.</t>
        </is>
      </c>
      <c r="H6" s="14" t="inlineStr">
        <is>
          <t>High</t>
        </is>
      </c>
      <c r="I6" s="14" t="inlineStr">
        <is>
          <t>14a</t>
        </is>
      </c>
      <c r="J6" s="14" t="inlineStr"/>
      <c r="K6" s="14" t="inlineStr"/>
      <c r="L6" s="14" t="inlineStr"/>
    </row>
    <row r="7">
      <c r="A7" s="15" t="inlineStr">
        <is>
          <t>TC-31-006</t>
        </is>
      </c>
      <c r="B7" s="15" t="inlineStr">
        <is>
          <t>Knowledge KPIs computed</t>
        </is>
      </c>
      <c r="C7" s="15" t="inlineStr">
        <is>
          <t>Scope</t>
        </is>
      </c>
      <c r="D7" s="15" t="inlineStr">
        <is>
          <t>Playbook coverage stays a manual metric</t>
        </is>
      </c>
      <c r="E7" s="15" t="inlineStr">
        <is>
          <t>Any install</t>
        </is>
      </c>
      <c r="F7" s="15" t="inlineStr">
        <is>
          <t>Inspect the 'Playbook coverage &amp; currency' metric.</t>
        </is>
      </c>
      <c r="G7" s="15" t="inlineStr">
        <is>
          <t>It remains Manual. Playbooks are not KB articles and were not switched to computed.</t>
        </is>
      </c>
      <c r="H7" s="15" t="inlineStr">
        <is>
          <t>Medium</t>
        </is>
      </c>
      <c r="I7" s="15" t="inlineStr">
        <is>
          <t>14a</t>
        </is>
      </c>
      <c r="J7" s="15" t="inlineStr"/>
      <c r="K7" s="15" t="inlineStr"/>
      <c r="L7" s="15" t="inlineStr"/>
    </row>
  </sheetData>
  <autoFilter ref="A1:L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34" customWidth="1" min="5" max="5"/>
    <col width="46" customWidth="1" min="6" max="6"/>
    <col width="56" customWidth="1" min="7" max="7"/>
    <col width="9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 ht="26" customHeight="1">
      <c r="A1" s="13" t="inlineStr">
        <is>
          <t>Case ID</t>
        </is>
      </c>
      <c r="B1" s="13" t="inlineStr">
        <is>
          <t>Suite</t>
        </is>
      </c>
      <c r="C1" s="13" t="inlineStr">
        <is>
          <t>Area</t>
        </is>
      </c>
      <c r="D1" s="13" t="inlineStr">
        <is>
          <t>Title</t>
        </is>
      </c>
      <c r="E1" s="13" t="inlineStr">
        <is>
          <t>Preconditions</t>
        </is>
      </c>
      <c r="F1" s="13" t="inlineStr">
        <is>
          <t>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Phase</t>
        </is>
      </c>
      <c r="J1" s="13" t="inlineStr">
        <is>
          <t>Result</t>
        </is>
      </c>
      <c r="K1" s="13" t="inlineStr">
        <is>
          <t>Tester</t>
        </is>
      </c>
      <c r="L1" s="13" t="inlineStr">
        <is>
          <t>Notes</t>
        </is>
      </c>
    </row>
    <row r="2">
      <c r="A2" s="14" t="inlineStr">
        <is>
          <t>TC-32-001</t>
        </is>
      </c>
      <c r="B2" s="14" t="inlineStr">
        <is>
          <t>Deploy, schema and regression</t>
        </is>
      </c>
      <c r="C2" s="14" t="inlineStr">
        <is>
          <t>Deploy</t>
        </is>
      </c>
      <c r="D2" s="14" t="inlineStr">
        <is>
          <t>Database Verify completes cleanly in one pass</t>
        </is>
      </c>
      <c r="E2" s="14" t="inlineStr">
        <is>
          <t>An install upgraded to this release</t>
        </is>
      </c>
      <c r="F2" s="14" t="inlineStr">
        <is>
          <t>Run Database Verify and read the whole output.</t>
        </is>
      </c>
      <c r="G2" s="14" t="inlineStr">
        <is>
          <t>No errors. It reports the category type column, the Event type, customer_contacts and its migration count, tickets.customer_contact_id, and users.customer_id.</t>
        </is>
      </c>
      <c r="H2" s="14" t="inlineStr">
        <is>
          <t>High</t>
        </is>
      </c>
      <c r="I2" s="14" t="inlineStr">
        <is>
          <t>All</t>
        </is>
      </c>
      <c r="J2" s="14" t="inlineStr"/>
      <c r="K2" s="14" t="inlineStr"/>
      <c r="L2" s="14" t="inlineStr"/>
    </row>
    <row r="3">
      <c r="A3" s="15" t="inlineStr">
        <is>
          <t>TC-32-002</t>
        </is>
      </c>
      <c r="B3" s="15" t="inlineStr">
        <is>
          <t>Deploy, schema and regression</t>
        </is>
      </c>
      <c r="C3" s="15" t="inlineStr">
        <is>
          <t>Deploy</t>
        </is>
      </c>
      <c r="D3" s="15" t="inlineStr">
        <is>
          <t>The image is rebuilt, not just pulled</t>
        </is>
      </c>
      <c r="E3" s="15" t="inlineStr">
        <is>
          <t>A server running the previous release</t>
        </is>
      </c>
      <c r="F3" s="15" t="inlineStr">
        <is>
          <t>Run 'git pull &amp;&amp; docker compose up --build -d'.</t>
        </is>
      </c>
      <c r="G3" s="15" t="inlineStr">
        <is>
          <t>The served code is the new version. Confirm the inbox loads assets/js/inbox.js at the current ?v= number.</t>
        </is>
      </c>
      <c r="H3" s="15" t="inlineStr">
        <is>
          <t>High</t>
        </is>
      </c>
      <c r="I3" s="15" t="inlineStr">
        <is>
          <t>All</t>
        </is>
      </c>
      <c r="J3" s="15" t="inlineStr"/>
      <c r="K3" s="15" t="inlineStr"/>
      <c r="L3" s="15" t="inlineStr"/>
    </row>
    <row r="4">
      <c r="A4" s="14" t="inlineStr">
        <is>
          <t>TC-32-003</t>
        </is>
      </c>
      <c r="B4" s="14" t="inlineStr">
        <is>
          <t>Deploy, schema and regression</t>
        </is>
      </c>
      <c r="C4" s="14" t="inlineStr">
        <is>
          <t>Regression</t>
        </is>
      </c>
      <c r="D4" s="14" t="inlineStr">
        <is>
          <t>Every PHP file parses</t>
        </is>
      </c>
      <c r="E4" s="14" t="inlineStr">
        <is>
          <t>The deployed source tree</t>
        </is>
      </c>
      <c r="F4" s="14" t="inlineStr">
        <is>
          <t>Run a php -l sweep over every .php file in the repo.</t>
        </is>
      </c>
      <c r="G4" s="14" t="inlineStr">
        <is>
          <t>No parse errors. This is the check that would have caught the data_import.php fatal.</t>
        </is>
      </c>
      <c r="H4" s="14" t="inlineStr">
        <is>
          <t>High</t>
        </is>
      </c>
      <c r="I4" s="14" t="inlineStr">
        <is>
          <t>All</t>
        </is>
      </c>
      <c r="J4" s="14" t="inlineStr"/>
      <c r="K4" s="14" t="inlineStr"/>
      <c r="L4" s="14" t="inlineStr"/>
    </row>
    <row r="5">
      <c r="A5" s="15" t="inlineStr">
        <is>
          <t>TC-32-004</t>
        </is>
      </c>
      <c r="B5" s="15" t="inlineStr">
        <is>
          <t>Deploy, schema and regression</t>
        </is>
      </c>
      <c r="C5" s="15" t="inlineStr">
        <is>
          <t>Regression</t>
        </is>
      </c>
      <c r="D5" s="15" t="inlineStr">
        <is>
          <t>The mass import screen opens</t>
        </is>
      </c>
      <c r="E5" s="15" t="inlineStr">
        <is>
          <t>Any install</t>
        </is>
      </c>
      <c r="F5" s="15" t="inlineStr">
        <is>
          <t>Open System &gt; Import.</t>
        </is>
      </c>
      <c r="G5" s="15" t="inlineStr">
        <is>
          <t>The dataset picker renders. REGRESSION: includes/data_import.php was previously fatal on include, taking this screen out entirely.</t>
        </is>
      </c>
      <c r="H5" s="15" t="inlineStr">
        <is>
          <t>High</t>
        </is>
      </c>
      <c r="I5" s="15" t="inlineStr">
        <is>
          <t>All</t>
        </is>
      </c>
      <c r="J5" s="15" t="inlineStr"/>
      <c r="K5" s="15" t="inlineStr"/>
      <c r="L5" s="15" t="inlineStr"/>
    </row>
    <row r="6">
      <c r="A6" s="14" t="inlineStr">
        <is>
          <t>TC-32-005</t>
        </is>
      </c>
      <c r="B6" s="14" t="inlineStr">
        <is>
          <t>Deploy, schema and regression</t>
        </is>
      </c>
      <c r="C6" s="14" t="inlineStr">
        <is>
          <t>Regression</t>
        </is>
      </c>
      <c r="D6" s="14" t="inlineStr">
        <is>
          <t>The migration path loads</t>
        </is>
      </c>
      <c r="E6" s="14" t="inlineStr">
        <is>
          <t>Any install</t>
        </is>
      </c>
      <c r="F6" s="14" t="inlineStr">
        <is>
          <t>Open System &gt; Migrate and choose a source preset.</t>
        </is>
      </c>
      <c r="G6" s="14" t="inlineStr">
        <is>
          <t>The migration screen loads and can analyse a file. It delegates to data_import.php, so it shared that fatal.</t>
        </is>
      </c>
      <c r="H6" s="14" t="inlineStr">
        <is>
          <t>High</t>
        </is>
      </c>
      <c r="I6" s="14" t="inlineStr">
        <is>
          <t>All</t>
        </is>
      </c>
      <c r="J6" s="14" t="inlineStr"/>
      <c r="K6" s="14" t="inlineStr"/>
      <c r="L6" s="14" t="inlineStr"/>
    </row>
    <row r="7">
      <c r="A7" s="15" t="inlineStr">
        <is>
          <t>TC-32-006</t>
        </is>
      </c>
      <c r="B7" s="15" t="inlineStr">
        <is>
          <t>Deploy, schema and regression</t>
        </is>
      </c>
      <c r="C7" s="15" t="inlineStr">
        <is>
          <t>Regression</t>
        </is>
      </c>
      <c r="D7" s="15" t="inlineStr">
        <is>
          <t>Existing ticket suites still pass against the new layout</t>
        </is>
      </c>
      <c r="E7" s="15" t="inlineStr">
        <is>
          <t>The existing reading-pane test suites</t>
        </is>
      </c>
      <c r="F7" s="15" t="inlineStr">
        <is>
          <t>Re-run the previously written ticket suites.</t>
        </is>
      </c>
      <c r="G7" s="15" t="inlineStr">
        <is>
          <t>They pass, allowing for fields now living inside collapsible sections that may need expanding first.</t>
        </is>
      </c>
      <c r="H7" s="15" t="inlineStr">
        <is>
          <t>High</t>
        </is>
      </c>
      <c r="I7" s="15" t="inlineStr">
        <is>
          <t>All</t>
        </is>
      </c>
      <c r="J7" s="15" t="inlineStr"/>
      <c r="K7" s="15" t="inlineStr"/>
      <c r="L7" s="15" t="inlineStr"/>
    </row>
    <row r="8">
      <c r="A8" s="14" t="inlineStr">
        <is>
          <t>TC-32-007</t>
        </is>
      </c>
      <c r="B8" s="14" t="inlineStr">
        <is>
          <t>Deploy, schema and regression</t>
        </is>
      </c>
      <c r="C8" s="14" t="inlineStr">
        <is>
          <t>Reset</t>
        </is>
      </c>
      <c r="D8" s="14" t="inlineStr">
        <is>
          <t>Reset data clears the new tables</t>
        </is>
      </c>
      <c r="E8" s="14" t="inlineStr">
        <is>
          <t>An install with contacts and view sessions</t>
        </is>
      </c>
      <c r="F8" s="14" t="inlineStr">
        <is>
          <t>Run System &gt; Reset data for the Customers and Tickets groups.</t>
        </is>
      </c>
      <c r="G8" s="14" t="inlineStr">
        <is>
          <t>customer_contacts and ticket_view_sessions are emptied along with their parents; users survive with a NULL customer link.</t>
        </is>
      </c>
      <c r="H8" s="14" t="inlineStr">
        <is>
          <t>Medium</t>
        </is>
      </c>
      <c r="I8" s="14" t="inlineStr">
        <is>
          <t>All</t>
        </is>
      </c>
      <c r="J8" s="14" t="inlineStr"/>
      <c r="K8" s="14" t="inlineStr"/>
      <c r="L8" s="14" t="inlineStr"/>
    </row>
    <row r="9">
      <c r="A9" s="15" t="inlineStr">
        <is>
          <t>TC-32-008</t>
        </is>
      </c>
      <c r="B9" s="15" t="inlineStr">
        <is>
          <t>Deploy, schema and regression</t>
        </is>
      </c>
      <c r="C9" s="15" t="inlineStr">
        <is>
          <t>Pre-verify</t>
        </is>
      </c>
      <c r="D9" s="15" t="inlineStr">
        <is>
          <t>The application is usable between deploy and verify</t>
        </is>
      </c>
      <c r="E9" s="15" t="inlineStr">
        <is>
          <t>Code deployed, Database Verify NOT yet run</t>
        </is>
      </c>
      <c r="F9" s="15" t="inlineStr">
        <is>
          <t>Open the inbox, a ticket, the customers page and the settings screens.</t>
        </is>
      </c>
      <c r="G9" s="15" t="inlineStr">
        <is>
          <t>Everything renders. New features explain that Database Verify is needed rather than erroring.</t>
        </is>
      </c>
      <c r="H9" s="15" t="inlineStr">
        <is>
          <t>High</t>
        </is>
      </c>
      <c r="I9" s="15" t="inlineStr">
        <is>
          <t>All</t>
        </is>
      </c>
      <c r="J9" s="15" t="inlineStr"/>
      <c r="K9" s="15" t="inlineStr"/>
      <c r="L9" s="15" t="inlineStr"/>
    </row>
    <row r="10">
      <c r="A10" s="14" t="inlineStr">
        <is>
          <t>TC-32-009</t>
        </is>
      </c>
      <c r="B10" s="14" t="inlineStr">
        <is>
          <t>Deploy, schema and regression</t>
        </is>
      </c>
      <c r="C10" s="14" t="inlineStr">
        <is>
          <t>Cache</t>
        </is>
      </c>
      <c r="D10" s="14" t="inlineStr">
        <is>
          <t>Browser caches do not serve stale assets</t>
        </is>
      </c>
      <c r="E10" s="14" t="inlineStr">
        <is>
          <t>A browser that used the previous release</t>
        </is>
      </c>
      <c r="F10" s="14" t="inlineStr">
        <is>
          <t>Deploy and reload without clearing the cache.</t>
        </is>
      </c>
      <c r="G10" s="14" t="inlineStr">
        <is>
          <t>The new inbox.js and customers.js are served, because their ?v= numbers changed.</t>
        </is>
      </c>
      <c r="H10" s="14" t="inlineStr">
        <is>
          <t>Medium</t>
        </is>
      </c>
      <c r="I10" s="14" t="inlineStr">
        <is>
          <t>All</t>
        </is>
      </c>
      <c r="J10" s="14" t="inlineStr"/>
      <c r="K10" s="14" t="inlineStr"/>
      <c r="L10" s="14" t="inlineStr"/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2026-07-26T09:39:53Z</dcterms:created>
  <dcterms:modified xsi:type="dcterms:W3CDTF">2026-07-26T09:39:53Z</dcterms:modified>
</cp:coreProperties>
</file>