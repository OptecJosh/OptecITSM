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est Plan" sheetId="2" state="visible" r:id="rId2"/>
    <sheet name="Summary" sheetId="3" state="visible" r:id="rId3"/>
    <sheet name="Original Functionality" sheetId="4" state="visible" r:id="rId4"/>
    <sheet name="Added (8-11)" sheetId="5" state="visible" r:id="rId5"/>
    <sheet name="Added (12-14)" sheetId="6" state="visible" r:id="rId6"/>
    <sheet name="Deferred" sheetId="7" state="visible" r:id="rId7"/>
  </sheets>
  <definedNames>
    <definedName name="_xlnm._FilterDatabase" localSheetId="1" hidden="1">'Test Plan'!$A$1:$K$304</definedName>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Arial"/>
      <b val="1"/>
      <color rgb="000E7C8B"/>
      <sz val="13"/>
    </font>
    <font>
      <name val="Arial"/>
      <b val="1"/>
      <color rgb="0016222E"/>
      <sz val="20"/>
    </font>
    <font>
      <name val="Arial"/>
      <color rgb="00596775"/>
      <sz val="11"/>
    </font>
    <font>
      <name val="Arial"/>
      <b val="1"/>
      <color rgb="0016222E"/>
      <sz val="10"/>
    </font>
    <font>
      <name val="Arial"/>
      <color rgb="00596775"/>
      <sz val="10"/>
    </font>
    <font>
      <name val="Arial"/>
      <b val="1"/>
      <color rgb="0016222E"/>
      <sz val="12"/>
    </font>
    <font>
      <name val="Arial"/>
      <b val="1"/>
      <color rgb="000B6472"/>
      <sz val="10"/>
    </font>
    <font>
      <name val="Arial"/>
      <b val="1"/>
      <color rgb="00FFFFFF"/>
      <sz val="9"/>
    </font>
    <font>
      <name val="Arial"/>
      <color rgb="0016222E"/>
      <sz val="10"/>
    </font>
    <font>
      <name val="Arial"/>
      <i val="1"/>
      <color rgb="008A99A8"/>
      <sz val="9"/>
    </font>
    <font>
      <name val="Arial"/>
      <b val="1"/>
      <color rgb="00FFFFFF"/>
      <sz val="10"/>
    </font>
    <font>
      <name val="Arial"/>
      <b val="1"/>
      <color rgb="000B6472"/>
      <sz val="9"/>
    </font>
    <font>
      <name val="Arial"/>
      <b val="1"/>
      <color rgb="0016222E"/>
      <sz val="9"/>
    </font>
    <font>
      <name val="Arial"/>
      <color rgb="00596775"/>
      <sz val="9"/>
    </font>
    <font>
      <name val="Arial"/>
      <b val="1"/>
      <color rgb="00B45309"/>
      <sz val="9"/>
    </font>
    <font>
      <name val="Arial"/>
      <b val="1"/>
      <color rgb="0016222E"/>
      <sz val="16"/>
    </font>
    <font>
      <name val="Arial"/>
      <i val="1"/>
      <color rgb="008A99A8"/>
      <sz val="10"/>
    </font>
    <font>
      <name val="Arial"/>
      <b val="1"/>
      <color rgb="0015803D"/>
      <sz val="10"/>
    </font>
    <font>
      <name val="Arial"/>
      <b val="1"/>
      <color rgb="00C2352B"/>
      <sz val="10"/>
    </font>
    <font>
      <name val="Arial"/>
      <b val="1"/>
      <color rgb="00B45309"/>
      <sz val="10"/>
    </font>
    <font>
      <name val="Arial"/>
      <b val="1"/>
      <color rgb="00596775"/>
      <sz val="10"/>
    </font>
    <font>
      <name val="Arial"/>
      <b val="1"/>
      <color rgb="008A99A8"/>
      <sz val="10"/>
    </font>
    <font>
      <name val="Arial"/>
      <b val="1"/>
      <color rgb="0016222E"/>
      <sz val="14"/>
    </font>
    <font>
      <name val="Arial"/>
      <color rgb="0016222E"/>
      <sz val="9"/>
    </font>
    <font>
      <name val="Arial"/>
      <b val="1"/>
      <color rgb="FF16222E"/>
      <sz val="9"/>
    </font>
    <font>
      <name val="Arial"/>
      <b val="1"/>
      <color rgb="FFB45309"/>
      <sz val="9"/>
    </font>
  </fonts>
  <fills count="14">
    <fill>
      <patternFill/>
    </fill>
    <fill>
      <patternFill patternType="gray125"/>
    </fill>
    <fill>
      <patternFill patternType="solid">
        <fgColor rgb="000E7C8B"/>
      </patternFill>
    </fill>
    <fill>
      <patternFill patternType="solid">
        <fgColor rgb="00FBEEE0"/>
      </patternFill>
    </fill>
    <fill>
      <patternFill patternType="solid">
        <fgColor rgb="00ECEFF3"/>
      </patternFill>
    </fill>
    <fill>
      <patternFill patternType="solid">
        <fgColor rgb="00FFFDF0"/>
      </patternFill>
    </fill>
    <fill>
      <patternFill patternType="solid">
        <fgColor rgb="00E2F1F3"/>
      </patternFill>
    </fill>
    <fill>
      <patternFill patternType="solid">
        <fgColor rgb="00FFFFFF"/>
      </patternFill>
    </fill>
    <fill>
      <patternFill patternType="solid">
        <fgColor rgb="000B6472"/>
      </patternFill>
    </fill>
    <fill>
      <patternFill patternType="solid">
        <fgColor rgb="00B45309"/>
      </patternFill>
    </fill>
    <fill>
      <patternFill patternType="solid">
        <fgColor rgb="FFECEFF3"/>
      </patternFill>
    </fill>
    <fill>
      <patternFill patternType="solid">
        <fgColor rgb="FFFBEEE0"/>
      </patternFill>
    </fill>
    <fill>
      <patternFill patternType="solid">
        <fgColor rgb="FFE2F1F3"/>
      </patternFill>
    </fill>
    <fill>
      <patternFill patternType="solid">
        <fgColor rgb="FFFFFFFF"/>
      </patternFill>
    </fill>
  </fills>
  <borders count="2">
    <border>
      <left/>
      <right/>
      <top/>
      <bottom/>
      <diagonal/>
    </border>
    <border>
      <left style="thin">
        <color rgb="00D9E0E7"/>
      </left>
      <right style="thin">
        <color rgb="00D9E0E7"/>
      </right>
      <top style="thin">
        <color rgb="00D9E0E7"/>
      </top>
      <bottom style="thin">
        <color rgb="00D9E0E7"/>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5" fillId="0" borderId="0" applyAlignment="1" pivotButton="0" quotePrefix="0" xfId="0">
      <alignment vertical="top" wrapText="1"/>
    </xf>
    <xf numFmtId="0" fontId="8" fillId="2" borderId="1" applyAlignment="1" pivotButton="0" quotePrefix="0" xfId="0">
      <alignment horizontal="center" vertical="center"/>
    </xf>
    <xf numFmtId="0" fontId="9" fillId="3" borderId="1" applyAlignment="1" pivotButton="0" quotePrefix="0" xfId="0">
      <alignment vertical="top"/>
    </xf>
    <xf numFmtId="0" fontId="10" fillId="0" borderId="0" pivotButton="0" quotePrefix="0" xfId="0"/>
    <xf numFmtId="0" fontId="11" fillId="2" borderId="1" applyAlignment="1" pivotButton="0" quotePrefix="0" xfId="0">
      <alignment horizontal="left" vertical="center" wrapText="1"/>
    </xf>
    <xf numFmtId="0" fontId="9" fillId="0" borderId="1" applyAlignment="1" pivotButton="0" quotePrefix="0" xfId="0">
      <alignment vertical="top" wrapText="1"/>
    </xf>
    <xf numFmtId="0" fontId="12" fillId="0" borderId="1" applyAlignment="1" pivotButton="0" quotePrefix="0" xfId="0">
      <alignment vertical="top"/>
    </xf>
    <xf numFmtId="0" fontId="9" fillId="0" borderId="1" applyAlignment="1" pivotButton="0" quotePrefix="0" xfId="0">
      <alignment vertical="top"/>
    </xf>
    <xf numFmtId="0" fontId="13" fillId="4" borderId="1" applyAlignment="1" pivotButton="0" quotePrefix="0" xfId="0">
      <alignment horizontal="center" vertical="center"/>
    </xf>
    <xf numFmtId="0" fontId="14" fillId="0" borderId="1" applyAlignment="1" pivotButton="0" quotePrefix="0" xfId="0">
      <alignment horizontal="center" vertical="center"/>
    </xf>
    <xf numFmtId="0" fontId="9" fillId="5" borderId="1" applyAlignment="1" pivotButton="0" quotePrefix="0" xfId="0">
      <alignment vertical="top"/>
    </xf>
    <xf numFmtId="0" fontId="9" fillId="5" borderId="1" applyAlignment="1" pivotButton="0" quotePrefix="0" xfId="0">
      <alignment vertical="top" wrapText="1"/>
    </xf>
    <xf numFmtId="0" fontId="15" fillId="3"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6" fillId="0" borderId="0" pivotButton="0" quotePrefix="0" xfId="0"/>
    <xf numFmtId="0" fontId="17" fillId="0" borderId="0" pivotButton="0" quotePrefix="0" xfId="0"/>
    <xf numFmtId="0" fontId="11" fillId="2" borderId="1" pivotButton="0" quotePrefix="0" xfId="0"/>
    <xf numFmtId="0" fontId="18" fillId="0" borderId="1" pivotButton="0" quotePrefix="0" xfId="0"/>
    <xf numFmtId="0" fontId="9" fillId="0" borderId="1" applyAlignment="1" pivotButton="0" quotePrefix="0" xfId="0">
      <alignment horizontal="center" vertical="center"/>
    </xf>
    <xf numFmtId="164" fontId="9" fillId="0" borderId="1" applyAlignment="1" pivotButton="0" quotePrefix="0" xfId="0">
      <alignment horizontal="center" vertical="center"/>
    </xf>
    <xf numFmtId="0" fontId="19" fillId="0" borderId="1" pivotButton="0" quotePrefix="0" xfId="0"/>
    <xf numFmtId="0" fontId="20" fillId="0" borderId="1" pivotButton="0" quotePrefix="0" xfId="0"/>
    <xf numFmtId="0" fontId="21" fillId="0" borderId="1" pivotButton="0" quotePrefix="0" xfId="0"/>
    <xf numFmtId="0" fontId="22" fillId="0" borderId="1" pivotButton="0" quotePrefix="0" xfId="0"/>
    <xf numFmtId="0" fontId="4" fillId="0" borderId="1" pivotButton="0" quotePrefix="0" xfId="0"/>
    <xf numFmtId="0" fontId="4" fillId="0" borderId="1" applyAlignment="1" pivotButton="0" quotePrefix="0" xfId="0">
      <alignment horizontal="center" vertical="center"/>
    </xf>
    <xf numFmtId="0" fontId="0" fillId="0" borderId="1" pivotButton="0" quotePrefix="0" xfId="0"/>
    <xf numFmtId="0" fontId="9" fillId="0" borderId="0" applyAlignment="1" pivotButton="0" quotePrefix="0" xfId="0">
      <alignment horizontal="center" vertical="center"/>
    </xf>
    <xf numFmtId="164" fontId="0" fillId="0" borderId="0" applyAlignment="1" pivotButton="0" quotePrefix="0" xfId="0">
      <alignment horizontal="center" vertical="center"/>
    </xf>
    <xf numFmtId="0" fontId="11" fillId="8" borderId="1" applyAlignment="1" pivotButton="0" quotePrefix="0" xfId="0">
      <alignment horizontal="center" vertical="center"/>
    </xf>
    <xf numFmtId="0" fontId="9" fillId="0" borderId="1" pivotButton="0" quotePrefix="0" xfId="0"/>
    <xf numFmtId="0" fontId="23" fillId="0" borderId="0" pivotButton="0" quotePrefix="0" xfId="0"/>
    <xf numFmtId="0" fontId="7" fillId="0" borderId="1" applyAlignment="1" pivotButton="0" quotePrefix="0" xfId="0">
      <alignment vertical="top" wrapText="1"/>
    </xf>
    <xf numFmtId="0" fontId="11" fillId="9" borderId="1" pivotButton="0" quotePrefix="0" xfId="0"/>
    <xf numFmtId="0" fontId="15" fillId="0" borderId="1" applyAlignment="1" pivotButton="0" quotePrefix="0" xfId="0">
      <alignment horizontal="center" vertical="center"/>
    </xf>
    <xf numFmtId="0" fontId="4" fillId="0" borderId="1" applyAlignment="1" pivotButton="0" quotePrefix="0" xfId="0">
      <alignment vertical="top" wrapText="1"/>
    </xf>
    <xf numFmtId="0" fontId="24" fillId="0" borderId="1" applyAlignment="1" pivotButton="0" quotePrefix="0" xfId="0">
      <alignment vertical="top" wrapText="1"/>
    </xf>
    <xf numFmtId="0" fontId="9" fillId="0" borderId="0" applyAlignment="1" pivotButton="0" quotePrefix="0" xfId="0">
      <alignment vertical="top"/>
    </xf>
    <xf numFmtId="0" fontId="25" fillId="10" borderId="1" applyAlignment="1" pivotButton="0" quotePrefix="0" xfId="0">
      <alignment horizontal="center" vertical="center"/>
    </xf>
    <xf numFmtId="0" fontId="26" fillId="11" borderId="1" applyAlignment="1" pivotButton="0" quotePrefix="0" xfId="0">
      <alignment horizontal="center" vertical="center"/>
    </xf>
    <xf numFmtId="0" fontId="25" fillId="12" borderId="1" applyAlignment="1" pivotButton="0" quotePrefix="0" xfId="0">
      <alignment horizontal="center" vertical="center"/>
    </xf>
    <xf numFmtId="0" fontId="25"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9"/>
  <sheetViews>
    <sheetView showGridLines="0" workbookViewId="0">
      <selection activeCell="A1" sqref="A1"/>
    </sheetView>
  </sheetViews>
  <sheetFormatPr baseColWidth="8" defaultRowHeight="15"/>
  <cols>
    <col width="2" customWidth="1" min="1" max="1"/>
    <col width="22" customWidth="1" min="2" max="2"/>
    <col width="26" customWidth="1" min="3" max="3"/>
    <col width="16" customWidth="1" min="4" max="4"/>
    <col width="16" customWidth="1" min="5" max="5"/>
    <col width="16" customWidth="1" min="6" max="6"/>
    <col width="16" customWidth="1" min="7" max="7"/>
    <col width="16" customWidth="1" min="8" max="8"/>
  </cols>
  <sheetData>
    <row r="2">
      <c r="B2" s="1" t="inlineStr">
        <is>
          <t>freeitsm</t>
        </is>
      </c>
    </row>
    <row r="3">
      <c r="B3" s="2" t="inlineStr">
        <is>
          <t>Functionality Inventory &amp; Comprehensive Test Plan</t>
        </is>
      </c>
    </row>
    <row r="5">
      <c r="B5" s="3" t="inlineStr">
        <is>
          <t>The complete surface of the platform: what shipped before this development cycle, what was added across Phases 8-11 plus the KPI and Customers modules, what Phases 12-14 added to the ticket experience and customer depth, and an executable test plan to verify every module end to end.</t>
        </is>
      </c>
    </row>
    <row r="6"/>
    <row r="7"/>
    <row r="9">
      <c r="B9" s="4" t="inlineStr">
        <is>
          <t>Stack</t>
        </is>
      </c>
      <c r="C9" s="5" t="inlineStr">
        <is>
          <t>PHP - MySQL - Docker</t>
        </is>
      </c>
    </row>
    <row r="10">
      <c r="B10" s="4" t="inlineStr">
        <is>
          <t>Auth models</t>
        </is>
      </c>
      <c r="C10" s="5" t="inlineStr">
        <is>
          <t>Analysts (staff) and portal users (end users)</t>
        </is>
      </c>
    </row>
    <row r="11">
      <c r="B11" s="4" t="inlineStr">
        <is>
          <t>Scope</t>
        </is>
      </c>
      <c r="C11" s="5" t="inlineStr">
        <is>
          <t>Original baseline (Phases 1-7 + base app), Phases 8-11, KPI, Customers, polish, data export, mass import, LMS training &amp; journal, Phases 12-14 (reading pane, time tracking, category hierarchy, customer contacts, portal user links, knowledge KPIs), BI export, demo history, migration, inbound webhooks</t>
        </is>
      </c>
    </row>
    <row r="12">
      <c r="B12" s="4" t="inlineStr">
        <is>
          <t>Deferred</t>
        </is>
      </c>
      <c r="C12" s="5" t="inlineStr">
        <is>
          <t>10c SAML, 10d channels, 11c rota cross-check, 11e TOIL, 14b KPI help page - NOT built, do not test</t>
        </is>
      </c>
    </row>
    <row r="14">
      <c r="B14" s="6" t="inlineStr">
        <is>
          <t>Workbook contents</t>
        </is>
      </c>
    </row>
    <row r="15">
      <c r="B15" s="7" t="inlineStr">
        <is>
          <t>Test Plan</t>
        </is>
      </c>
      <c r="C15" s="8" t="inlineStr">
        <is>
          <t>The executable suites - one row per test case. Fill the Status / Tester / Date / Notes columns.</t>
        </is>
      </c>
    </row>
    <row r="16">
      <c r="B16" s="7" t="inlineStr">
        <is>
          <t>Summary</t>
        </is>
      </c>
      <c r="C16" s="8" t="inlineStr">
        <is>
          <t>Auto-calculating pass/fail totals (overall and per suite). Do not edit - it reads Test Plan.</t>
        </is>
      </c>
    </row>
    <row r="17">
      <c r="B17" s="7" t="inlineStr">
        <is>
          <t>Original Functionality</t>
        </is>
      </c>
      <c r="C17" s="8" t="inlineStr">
        <is>
          <t>Inventory of the pre-cycle baseline, by module.</t>
        </is>
      </c>
    </row>
    <row r="18">
      <c r="B18" s="7" t="inlineStr">
        <is>
          <t>Added (8-11)</t>
        </is>
      </c>
      <c r="C18" s="8" t="inlineStr">
        <is>
          <t>Every feature added this cycle, phase by phase - including the KPI (K0-K3) and Customers modules.</t>
        </is>
      </c>
    </row>
    <row r="19">
      <c r="B19" s="7" t="inlineStr">
        <is>
          <t>Deferred</t>
        </is>
      </c>
      <c r="C19" s="8" t="inlineStr">
        <is>
          <t>Explicitly out of scope - no code exists.</t>
        </is>
      </c>
    </row>
    <row r="20">
      <c r="B20" s="7" t="inlineStr">
        <is>
          <t>Added (12-14)</t>
        </is>
      </c>
      <c r="C20" s="8" t="inlineStr">
        <is>
          <t>Everything added after the 8-11 cycle: the ticket experience, customer depth, knowledge KPIs, BI export, demo history, migration and inbound webhooks.</t>
        </is>
      </c>
    </row>
    <row r="21">
      <c r="B21" s="6" t="inlineStr">
        <is>
          <t>How to use</t>
        </is>
      </c>
    </row>
    <row r="22">
      <c r="B22" s="5" t="inlineStr">
        <is>
          <t>Only edit the four yellow columns on Test Plan: Status, Tester, Date, Notes. Status is a dropdown.</t>
        </is>
      </c>
    </row>
    <row r="23">
      <c r="B23" s="5" t="inlineStr">
        <is>
          <t>Status values: Not run / Pass / Fail / Blocked / N/A. Leave N/A where a case doesn't apply (e.g. tenancy on a single-company install).</t>
        </is>
      </c>
    </row>
    <row r="25">
      <c r="B25" s="4" t="inlineStr">
        <is>
          <t>Example of a completed row (for format only):</t>
        </is>
      </c>
    </row>
    <row r="26">
      <c r="B26" s="9" t="inlineStr">
        <is>
          <t>Test ID</t>
        </is>
      </c>
      <c r="C26" s="9" t="inlineStr">
        <is>
          <t>Status</t>
        </is>
      </c>
      <c r="D26" s="9" t="inlineStr">
        <is>
          <t>Tester</t>
        </is>
      </c>
      <c r="E26" s="9" t="inlineStr">
        <is>
          <t>Date</t>
        </is>
      </c>
      <c r="F26" s="9" t="inlineStr">
        <is>
          <t>Notes</t>
        </is>
      </c>
    </row>
    <row r="27">
      <c r="B27" s="10" t="inlineStr">
        <is>
          <t>S3-02</t>
        </is>
      </c>
      <c r="C27" s="10" t="inlineStr">
        <is>
          <t>Pass</t>
        </is>
      </c>
      <c r="D27" s="10" t="inlineStr">
        <is>
          <t>J. Phillips</t>
        </is>
      </c>
      <c r="E27" s="10" t="inlineStr">
        <is>
          <t>2026-07-22</t>
        </is>
      </c>
      <c r="F27" s="10" t="inlineStr">
        <is>
          <t>Verified on staging; audit trail correct</t>
        </is>
      </c>
    </row>
    <row r="29">
      <c r="B29" s="11" t="inlineStr">
        <is>
          <t>Generated by the freeitsm dev cycle handoff. Load database/demo-csv/ via System &gt; Mass import first (suite 24) for a populated system to test against.</t>
        </is>
      </c>
    </row>
  </sheetData>
  <mergeCells count="10">
    <mergeCell ref="B22:H22"/>
    <mergeCell ref="C20:H20"/>
    <mergeCell ref="C16:H16"/>
    <mergeCell ref="C19:H19"/>
    <mergeCell ref="B5:H7"/>
    <mergeCell ref="C18:H18"/>
    <mergeCell ref="B29:H29"/>
    <mergeCell ref="C17:H17"/>
    <mergeCell ref="C15:H15"/>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4"/>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9" customWidth="1" min="2" max="2"/>
    <col width="12" customWidth="1" min="3" max="3"/>
    <col width="10" customWidth="1" min="4" max="4"/>
    <col width="8" customWidth="1" min="5" max="5"/>
    <col width="60" customWidth="1" min="6" max="6"/>
    <col width="60" customWidth="1" min="7" max="7"/>
    <col width="12" customWidth="1" min="8" max="8"/>
    <col width="14" customWidth="1" min="9" max="9"/>
    <col width="12" customWidth="1" min="10" max="10"/>
    <col width="26" customWidth="1" min="11" max="11"/>
  </cols>
  <sheetData>
    <row r="1" ht="24" customHeight="1">
      <c r="A1" s="12" t="inlineStr">
        <is>
          <t>Suite</t>
        </is>
      </c>
      <c r="B1" s="12" t="inlineStr">
        <is>
          <t>Test ID</t>
        </is>
      </c>
      <c r="C1" s="12" t="inlineStr">
        <is>
          <t>Area</t>
        </is>
      </c>
      <c r="D1" s="12" t="inlineStr">
        <is>
          <t>Type</t>
        </is>
      </c>
      <c r="E1" s="12" t="inlineStr">
        <is>
          <t>Phase</t>
        </is>
      </c>
      <c r="F1" s="12" t="inlineStr">
        <is>
          <t>Steps</t>
        </is>
      </c>
      <c r="G1" s="12" t="inlineStr">
        <is>
          <t>Expected result</t>
        </is>
      </c>
      <c r="H1" s="12" t="inlineStr">
        <is>
          <t>Status</t>
        </is>
      </c>
      <c r="I1" s="12" t="inlineStr">
        <is>
          <t>Tester</t>
        </is>
      </c>
      <c r="J1" s="12" t="inlineStr">
        <is>
          <t>Date</t>
        </is>
      </c>
      <c r="K1" s="12" t="inlineStr">
        <is>
          <t>Notes</t>
        </is>
      </c>
    </row>
    <row r="2">
      <c r="A2" s="13" t="inlineStr">
        <is>
          <t>0 Setup</t>
        </is>
      </c>
      <c r="B2" s="14" t="inlineStr">
        <is>
          <t>S0-01</t>
        </is>
      </c>
      <c r="C2" s="15" t="inlineStr">
        <is>
          <t>Environment</t>
        </is>
      </c>
      <c r="D2" s="47" t="inlineStr">
        <is>
          <t>Setup</t>
        </is>
      </c>
      <c r="E2" s="17" t="inlineStr">
        <is>
          <t>-</t>
        </is>
      </c>
      <c r="F2" s="13" t="inlineStr">
        <is>
          <t>Deploy the branch and run Database Verify (api/system/db_verify.php) as an admin.</t>
        </is>
      </c>
      <c r="G2" s="13" t="inlineStr">
        <is>
          <t>Reports created tables/columns with NO errors: ticket_sla_snapshot, scheduled_report, change_freeze_windows, change_cmdb_objects, contract_assets, assets.end_of_life_date/disposal_date/disposal_method, analysts.manager_id, overtime_requests/audit/settings (+5 seeded settings).</t>
        </is>
      </c>
      <c r="H2" s="18" t="inlineStr">
        <is>
          <t>Not run</t>
        </is>
      </c>
      <c r="I2" s="18" t="n"/>
      <c r="J2" s="18" t="n"/>
      <c r="K2" s="19" t="n"/>
    </row>
    <row r="3">
      <c r="A3" s="13" t="inlineStr">
        <is>
          <t>0 Setup</t>
        </is>
      </c>
      <c r="B3" s="14" t="inlineStr">
        <is>
          <t>S0-02</t>
        </is>
      </c>
      <c r="C3" s="15" t="inlineStr">
        <is>
          <t>Environment</t>
        </is>
      </c>
      <c r="D3" s="48" t="inlineStr">
        <is>
          <t>New</t>
        </is>
      </c>
      <c r="E3" s="17" t="inlineStr">
        <is>
          <t>8a</t>
        </is>
      </c>
      <c r="F3" s="13" t="inlineStr">
        <is>
          <t>Run cron/sla_snapshot_rebuild.php?token=&lt;sla_cron_token&gt; once.</t>
        </is>
      </c>
      <c r="G3" s="13" t="inlineStr">
        <is>
          <t>Returns processed/tracked counts; ticket_sla_snapshot populated.</t>
        </is>
      </c>
      <c r="H3" s="18" t="inlineStr">
        <is>
          <t>Not run</t>
        </is>
      </c>
      <c r="I3" s="18" t="n"/>
      <c r="J3" s="18" t="n"/>
      <c r="K3" s="19" t="n"/>
    </row>
    <row r="4">
      <c r="A4" s="13" t="inlineStr">
        <is>
          <t>0 Setup</t>
        </is>
      </c>
      <c r="B4" s="14" t="inlineStr">
        <is>
          <t>S0-03</t>
        </is>
      </c>
      <c r="C4" s="15" t="inlineStr">
        <is>
          <t>Environment</t>
        </is>
      </c>
      <c r="D4" s="49" t="inlineStr">
        <is>
          <t>Mixed</t>
        </is>
      </c>
      <c r="E4" s="17" t="inlineStr">
        <is>
          <t>-</t>
        </is>
      </c>
      <c r="F4" s="13" t="inlineStr">
        <is>
          <t>Confirm cron jobs scheduled: sla_breach_check (~5m), scheduled_reports (hourly), workflow_scheduled (hourly), sla_snapshot_rebuild (nightly).</t>
        </is>
      </c>
      <c r="G4" s="13" t="inlineStr">
        <is>
          <t>Each runs and logs; no auth/lockout errors.</t>
        </is>
      </c>
      <c r="H4" s="18" t="inlineStr">
        <is>
          <t>Not run</t>
        </is>
      </c>
      <c r="I4" s="18" t="n"/>
      <c r="J4" s="18" t="n"/>
      <c r="K4" s="19" t="n"/>
    </row>
    <row r="5">
      <c r="A5" s="13" t="inlineStr">
        <is>
          <t>0 Setup</t>
        </is>
      </c>
      <c r="B5" s="14" t="inlineStr">
        <is>
          <t>S0-04</t>
        </is>
      </c>
      <c r="C5" s="15" t="inlineStr">
        <is>
          <t>Environment</t>
        </is>
      </c>
      <c r="D5" s="47" t="inlineStr">
        <is>
          <t>Setup</t>
        </is>
      </c>
      <c r="E5" s="17" t="inlineStr">
        <is>
          <t>-</t>
        </is>
      </c>
      <c r="F5" s="13" t="inlineStr">
        <is>
          <t>Ensure at least one active mailbox is configured.</t>
        </is>
      </c>
      <c r="G5" s="13" t="inlineStr">
        <is>
          <t>Test send from mailbox settings succeeds (needed for report/notify email tests).</t>
        </is>
      </c>
      <c r="H5" s="18" t="inlineStr">
        <is>
          <t>Not run</t>
        </is>
      </c>
      <c r="I5" s="18" t="n"/>
      <c r="J5" s="18" t="n"/>
      <c r="K5" s="19" t="n"/>
    </row>
    <row r="6">
      <c r="A6" s="13" t="inlineStr">
        <is>
          <t>0 Setup</t>
        </is>
      </c>
      <c r="B6" s="14" t="inlineStr">
        <is>
          <t>S0-05</t>
        </is>
      </c>
      <c r="C6" s="15" t="inlineStr">
        <is>
          <t>Environment</t>
        </is>
      </c>
      <c r="D6" s="47" t="inlineStr">
        <is>
          <t>Setup</t>
        </is>
      </c>
      <c r="E6" s="17" t="inlineStr">
        <is>
          <t>-</t>
        </is>
      </c>
      <c r="F6" s="13" t="inlineStr">
        <is>
          <t>Create a 2nd company; analyst A (company 1 only), analyst B (company 2 only), plus an admin.</t>
        </is>
      </c>
      <c r="G6" s="13" t="inlineStr">
        <is>
          <t>Needed for the tenancy suite. Single-company installs: tenancy cases are N/A.</t>
        </is>
      </c>
      <c r="H6" s="18" t="inlineStr">
        <is>
          <t>Not run</t>
        </is>
      </c>
      <c r="I6" s="18" t="n"/>
      <c r="J6" s="18" t="n"/>
      <c r="K6" s="19" t="n"/>
    </row>
    <row r="7">
      <c r="A7" s="13" t="inlineStr">
        <is>
          <t>0 Setup</t>
        </is>
      </c>
      <c r="B7" s="14" t="inlineStr">
        <is>
          <t>S0-06</t>
        </is>
      </c>
      <c r="C7" s="15" t="inlineStr">
        <is>
          <t>Environment</t>
        </is>
      </c>
      <c r="D7" s="48" t="inlineStr">
        <is>
          <t>New</t>
        </is>
      </c>
      <c r="E7" s="17" t="inlineStr">
        <is>
          <t>KPI/Cu</t>
        </is>
      </c>
      <c r="F7" s="13" t="inlineStr">
        <is>
          <t>Run Database Verify (api/system/db_verify.php) again after this batch and read the KPI / Customer section.</t>
        </is>
      </c>
      <c r="G7" s="13" t="inlineStr">
        <is>
          <t>Creates with NO errors: kpi_definitions (+69 seeded metrics), kpi_measurements, ticket_streams (+NOC/SOC seed), ticket_escalations, ticket_hold_events, ticket_qa_reviews, customers, customer_cmdb_objects; columns tickets.stream_id / playbook_eligible / acknowledged_datetime / customer_id and analysts.tier / loaded_rate / contracted_weekly_hours; keys fk_tickets_customer, fk_tickets_stream, fk_customers_tenant, uq_customer_cmdb.</t>
        </is>
      </c>
      <c r="H7" s="18" t="inlineStr">
        <is>
          <t>Not run</t>
        </is>
      </c>
      <c r="I7" s="18" t="n"/>
      <c r="J7" s="18" t="n"/>
      <c r="K7" s="19" t="n"/>
    </row>
    <row r="8">
      <c r="A8" s="13" t="inlineStr">
        <is>
          <t>0 Setup</t>
        </is>
      </c>
      <c r="B8" s="14" t="inlineStr">
        <is>
          <t>S0-07</t>
        </is>
      </c>
      <c r="C8" s="15" t="inlineStr">
        <is>
          <t>Environment</t>
        </is>
      </c>
      <c r="D8" s="48" t="inlineStr">
        <is>
          <t>New</t>
        </is>
      </c>
      <c r="E8" s="17" t="inlineStr">
        <is>
          <t>K1/K3</t>
        </is>
      </c>
      <c r="F8" s="13" t="inlineStr">
        <is>
          <t>System &gt; Analysts: set tier (L1/L2/L3) on every active analyst, plus loaded_rate (loaded hourly cost) and contracted_weekly_hours.</t>
        </is>
      </c>
      <c r="G8" s="13" t="inlineStr">
        <is>
          <t>All three save per analyst. A ticket's tier is its OWNER's tier, so any analyst left without a tier keeps their tickets out of the tier scorecards (expected, not a bug).</t>
        </is>
      </c>
      <c r="H8" s="18" t="inlineStr">
        <is>
          <t>Not run</t>
        </is>
      </c>
      <c r="I8" s="18" t="n"/>
      <c r="J8" s="18" t="n"/>
      <c r="K8" s="19" t="n"/>
    </row>
    <row r="9">
      <c r="A9" s="13" t="inlineStr">
        <is>
          <t>0 Setup</t>
        </is>
      </c>
      <c r="B9" s="14" t="inlineStr">
        <is>
          <t>S0-08</t>
        </is>
      </c>
      <c r="C9" s="15" t="inlineStr">
        <is>
          <t>Environment</t>
        </is>
      </c>
      <c r="D9" s="48" t="inlineStr">
        <is>
          <t>New</t>
        </is>
      </c>
      <c r="E9" s="17" t="inlineStr">
        <is>
          <t>K2</t>
        </is>
      </c>
      <c r="F9" s="13" t="inlineStr">
        <is>
          <t>Run cron/kpi_snapshot.php?token=&lt;sla_cron_token&gt; once for the current month.</t>
        </is>
      </c>
      <c r="G9" s="13" t="inlineStr">
        <is>
          <t>Prints "KPI snapshot (YYYY-MM) done" with Computed / Skipped (manual/feed) / Errors, and Errors: 0. sla_cron_runs logs one run whose notes start with [kpi-snapshot].</t>
        </is>
      </c>
      <c r="H9" s="18" t="inlineStr">
        <is>
          <t>Not run</t>
        </is>
      </c>
      <c r="I9" s="18" t="n"/>
      <c r="J9" s="18" t="n"/>
      <c r="K9" s="19" t="n"/>
    </row>
    <row r="10">
      <c r="A10" s="13" t="inlineStr">
        <is>
          <t>0 Setup</t>
        </is>
      </c>
      <c r="B10" s="14" t="inlineStr">
        <is>
          <t>S0-09</t>
        </is>
      </c>
      <c r="C10" s="15" t="inlineStr">
        <is>
          <t>Environment</t>
        </is>
      </c>
      <c r="D10" s="48" t="inlineStr">
        <is>
          <t>New</t>
        </is>
      </c>
      <c r="E10" s="17" t="inlineStr">
        <is>
          <t>Polish</t>
        </is>
      </c>
      <c r="F10" s="13" t="inlineStr">
        <is>
          <t>Run Database Verify once more after the polish batch.</t>
        </is>
      </c>
      <c r="G10" s="13" t="inlineStr">
        <is>
          <t>Adds contracts.service_hours / response_sla / resolution_sla / coverage_notes and the change_freeze_scopes table (+ uq_change_freeze_scope and the cascade FK to change_freeze_windows), with no errors.</t>
        </is>
      </c>
      <c r="H10" s="18" t="inlineStr">
        <is>
          <t>Not run</t>
        </is>
      </c>
      <c r="I10" s="18" t="n"/>
      <c r="J10" s="18" t="n"/>
      <c r="K10" s="19" t="n"/>
    </row>
    <row r="11">
      <c r="A11" s="13" t="inlineStr">
        <is>
          <t>0 Setup</t>
        </is>
      </c>
      <c r="B11" s="14" t="inlineStr">
        <is>
          <t>S0-10</t>
        </is>
      </c>
      <c r="C11" s="15" t="inlineStr">
        <is>
          <t>Environment</t>
        </is>
      </c>
      <c r="D11" s="48" t="inlineStr">
        <is>
          <t>New</t>
        </is>
      </c>
      <c r="E11" s="17" t="inlineStr">
        <is>
          <t>Export/LMS</t>
        </is>
      </c>
      <c r="F11" s="13" t="inlineStr">
        <is>
          <t>Run Database Verify after the export / LMS batch.</t>
        </is>
      </c>
      <c r="G11" s="13" t="inlineStr">
        <is>
          <t>Creates with no errors: lms_certifications, analyst_certifications, analyst_training_records, analyst_journal_entries, with their indexes and FKs (cascade on analyst, SET NULL on catalogue entry / course / journal author). No schema change is needed for the data export — it reads the live schema.</t>
        </is>
      </c>
      <c r="H11" s="18" t="inlineStr">
        <is>
          <t>Not run</t>
        </is>
      </c>
      <c r="I11" s="18" t="n"/>
      <c r="J11" s="18" t="n"/>
      <c r="K11" s="19" t="n"/>
    </row>
    <row r="12">
      <c r="A12" s="13" t="inlineStr">
        <is>
          <t>1 Access &amp; security</t>
        </is>
      </c>
      <c r="B12" s="14" t="inlineStr">
        <is>
          <t>S1-01</t>
        </is>
      </c>
      <c r="C12" s="15" t="inlineStr">
        <is>
          <t>Auth</t>
        </is>
      </c>
      <c r="D12" s="50" t="inlineStr">
        <is>
          <t>Baseline</t>
        </is>
      </c>
      <c r="E12" s="17" t="inlineStr">
        <is>
          <t>-</t>
        </is>
      </c>
      <c r="F12" s="13" t="inlineStr">
        <is>
          <t>Log in with correct password; then wrong password x N.</t>
        </is>
      </c>
      <c r="G12" s="13" t="inlineStr">
        <is>
          <t>Success routes to app; repeated failures increment lockout (failed_login_count / locked_until).</t>
        </is>
      </c>
      <c r="H12" s="18" t="inlineStr">
        <is>
          <t>Not run</t>
        </is>
      </c>
      <c r="I12" s="18" t="n"/>
      <c r="J12" s="18" t="n"/>
      <c r="K12" s="19" t="n"/>
    </row>
    <row r="13">
      <c r="A13" s="13" t="inlineStr">
        <is>
          <t>1 Access &amp; security</t>
        </is>
      </c>
      <c r="B13" s="14" t="inlineStr">
        <is>
          <t>S1-02</t>
        </is>
      </c>
      <c r="C13" s="15" t="inlineStr">
        <is>
          <t>Auth</t>
        </is>
      </c>
      <c r="D13" s="50" t="inlineStr">
        <is>
          <t>Baseline</t>
        </is>
      </c>
      <c r="E13" s="17" t="inlineStr">
        <is>
          <t>-</t>
        </is>
      </c>
      <c r="F13" s="13" t="inlineStr">
        <is>
          <t>Enable MFA/TOTP; log out/in; test 'trust this device'.</t>
        </is>
      </c>
      <c r="G13" s="13" t="inlineStr">
        <is>
          <t>OTP prompted; correct code admits; trusted device skips OTP next time.</t>
        </is>
      </c>
      <c r="H13" s="18" t="inlineStr">
        <is>
          <t>Not run</t>
        </is>
      </c>
      <c r="I13" s="18" t="n"/>
      <c r="J13" s="18" t="n"/>
      <c r="K13" s="19" t="n"/>
    </row>
    <row r="14">
      <c r="A14" s="13" t="inlineStr">
        <is>
          <t>1 Access &amp; security</t>
        </is>
      </c>
      <c r="B14" s="14" t="inlineStr">
        <is>
          <t>S1-03</t>
        </is>
      </c>
      <c r="C14" s="15" t="inlineStr">
        <is>
          <t>Auth</t>
        </is>
      </c>
      <c r="D14" s="50" t="inlineStr">
        <is>
          <t>Baseline</t>
        </is>
      </c>
      <c r="E14" s="17" t="inlineStr">
        <is>
          <t>-</t>
        </is>
      </c>
      <c r="F14" s="13" t="inlineStr">
        <is>
          <t>Configure an OIDC provider; assign to an analyst; sign in via SSO.</t>
        </is>
      </c>
      <c r="G14" s="13" t="inlineStr">
        <is>
          <t>SSO-only analyst can only enter via provider; local password rejected.</t>
        </is>
      </c>
      <c r="H14" s="18" t="inlineStr">
        <is>
          <t>Not run</t>
        </is>
      </c>
      <c r="I14" s="18" t="n"/>
      <c r="J14" s="18" t="n"/>
      <c r="K14" s="19" t="n"/>
    </row>
    <row r="15">
      <c r="A15" s="13" t="inlineStr">
        <is>
          <t>1 Access &amp; security</t>
        </is>
      </c>
      <c r="B15" s="14" t="inlineStr">
        <is>
          <t>S1-04</t>
        </is>
      </c>
      <c r="C15" s="15" t="inlineStr">
        <is>
          <t>Authz</t>
        </is>
      </c>
      <c r="D15" s="50" t="inlineStr">
        <is>
          <t>Baseline</t>
        </is>
      </c>
      <c r="E15" s="17" t="inlineStr">
        <is>
          <t>-</t>
        </is>
      </c>
      <c r="F15" s="13" t="inlineStr">
        <is>
          <t>Restrict an analyst's module access (subset); log in as them.</t>
        </is>
      </c>
      <c r="G15" s="13" t="inlineStr">
        <is>
          <t>Waffle shows only granted modules; direct URL to a denied module refused.</t>
        </is>
      </c>
      <c r="H15" s="18" t="inlineStr">
        <is>
          <t>Not run</t>
        </is>
      </c>
      <c r="I15" s="18" t="n"/>
      <c r="J15" s="18" t="n"/>
      <c r="K15" s="19" t="n"/>
    </row>
    <row r="16">
      <c r="A16" s="13" t="inlineStr">
        <is>
          <t>1 Access &amp; security</t>
        </is>
      </c>
      <c r="B16" s="14" t="inlineStr">
        <is>
          <t>S1-05</t>
        </is>
      </c>
      <c r="C16" s="15" t="inlineStr">
        <is>
          <t>Authz</t>
        </is>
      </c>
      <c r="D16" s="50" t="inlineStr">
        <is>
          <t>Baseline</t>
        </is>
      </c>
      <c r="E16" s="17" t="inlineStr">
        <is>
          <t>-</t>
        </is>
      </c>
      <c r="F16" s="13" t="inlineStr">
        <is>
          <t>As a non-admin, hit a System admin API directly (e.g. get_audit_log.php).</t>
        </is>
      </c>
      <c r="G16" s="13" t="inlineStr">
        <is>
          <t>403/not-authorised (admin_api_guard). System pages redirect non-admins.</t>
        </is>
      </c>
      <c r="H16" s="18" t="inlineStr">
        <is>
          <t>Not run</t>
        </is>
      </c>
      <c r="I16" s="18" t="n"/>
      <c r="J16" s="18" t="n"/>
      <c r="K16" s="19" t="n"/>
    </row>
    <row r="17">
      <c r="A17" s="13" t="inlineStr">
        <is>
          <t>1 Access &amp; security</t>
        </is>
      </c>
      <c r="B17" s="14" t="inlineStr">
        <is>
          <t>S1-06</t>
        </is>
      </c>
      <c r="C17" s="15" t="inlineStr">
        <is>
          <t>Authz</t>
        </is>
      </c>
      <c r="D17" s="50" t="inlineStr">
        <is>
          <t>Baseline</t>
        </is>
      </c>
      <c r="E17" s="17" t="inlineStr">
        <is>
          <t>-</t>
        </is>
      </c>
      <c r="F17" s="13" t="inlineStr">
        <is>
          <t>Attempt to remove/deactivate the last active administrator.</t>
        </is>
      </c>
      <c r="G17" s="13" t="inlineStr">
        <is>
          <t>Blocked with a clear message.</t>
        </is>
      </c>
      <c r="H17" s="18" t="inlineStr">
        <is>
          <t>Not run</t>
        </is>
      </c>
      <c r="I17" s="18" t="n"/>
      <c r="J17" s="18" t="n"/>
      <c r="K17" s="19" t="n"/>
    </row>
    <row r="18">
      <c r="A18" s="13" t="inlineStr">
        <is>
          <t>1 Access &amp; security</t>
        </is>
      </c>
      <c r="B18" s="14" t="inlineStr">
        <is>
          <t>S1-07</t>
        </is>
      </c>
      <c r="C18" s="15" t="inlineStr">
        <is>
          <t>Authz</t>
        </is>
      </c>
      <c r="D18" s="50" t="inlineStr">
        <is>
          <t>Baseline</t>
        </is>
      </c>
      <c r="E18" s="17" t="inlineStr">
        <is>
          <t>-</t>
        </is>
      </c>
      <c r="F18" s="13" t="inlineStr">
        <is>
          <t>Grant/revoke a settings capability via Roles; check the gated tab appears/disappears.</t>
        </is>
      </c>
      <c r="G18" s="13" t="inlineStr">
        <is>
          <t>Capability changes take effect (authoritative DB check).</t>
        </is>
      </c>
      <c r="H18" s="18" t="inlineStr">
        <is>
          <t>Not run</t>
        </is>
      </c>
      <c r="I18" s="18" t="n"/>
      <c r="J18" s="18" t="n"/>
      <c r="K18" s="19" t="n"/>
    </row>
    <row r="19">
      <c r="A19" s="13" t="inlineStr">
        <is>
          <t>2 Multi-tenancy</t>
        </is>
      </c>
      <c r="B19" s="14" t="inlineStr">
        <is>
          <t>S2-01</t>
        </is>
      </c>
      <c r="C19" s="15" t="inlineStr">
        <is>
          <t>Isolation</t>
        </is>
      </c>
      <c r="D19" s="48" t="inlineStr">
        <is>
          <t>New</t>
        </is>
      </c>
      <c r="E19" s="17" t="inlineStr">
        <is>
          <t>10e</t>
        </is>
      </c>
      <c r="F19" s="13" t="inlineStr">
        <is>
          <t>Company-2 change 'Pending Approval'. As A: Change mgmt &gt; Approvals (all) + counts.</t>
        </is>
      </c>
      <c r="G19" s="13" t="inlineStr">
        <is>
          <t>Company-2 change not listed; counts exclude it.</t>
        </is>
      </c>
      <c r="H19" s="18" t="inlineStr">
        <is>
          <t>Not run</t>
        </is>
      </c>
      <c r="I19" s="18" t="n"/>
      <c r="J19" s="18" t="n"/>
      <c r="K19" s="19" t="n"/>
    </row>
    <row r="20">
      <c r="A20" s="13" t="inlineStr">
        <is>
          <t>2 Multi-tenancy</t>
        </is>
      </c>
      <c r="B20" s="14" t="inlineStr">
        <is>
          <t>S2-02</t>
        </is>
      </c>
      <c r="C20" s="15" t="inlineStr">
        <is>
          <t>Isolation</t>
        </is>
      </c>
      <c r="D20" s="48" t="inlineStr">
        <is>
          <t>New</t>
        </is>
      </c>
      <c r="E20" s="17" t="inlineStr">
        <is>
          <t>10e</t>
        </is>
      </c>
      <c r="F20" s="13" t="inlineStr">
        <is>
          <t>As A, open a problem &gt; 'Link change' picker (search title/id).</t>
        </is>
      </c>
      <c r="G20" s="13" t="inlineStr">
        <is>
          <t>Company-2 changes do not appear.</t>
        </is>
      </c>
      <c r="H20" s="18" t="inlineStr">
        <is>
          <t>Not run</t>
        </is>
      </c>
      <c r="I20" s="18" t="n"/>
      <c r="J20" s="18" t="n"/>
      <c r="K20" s="19" t="n"/>
    </row>
    <row r="21">
      <c r="A21" s="13" t="inlineStr">
        <is>
          <t>2 Multi-tenancy</t>
        </is>
      </c>
      <c r="B21" s="14" t="inlineStr">
        <is>
          <t>S2-03</t>
        </is>
      </c>
      <c r="C21" s="15" t="inlineStr">
        <is>
          <t>Isolation</t>
        </is>
      </c>
      <c r="D21" s="48" t="inlineStr">
        <is>
          <t>New</t>
        </is>
      </c>
      <c r="E21" s="17" t="inlineStr">
        <is>
          <t>10e</t>
        </is>
      </c>
      <c r="F21" s="13" t="inlineStr">
        <is>
          <t>As A, Tasks &gt; link a ticket/change (search); generic link search.</t>
        </is>
      </c>
      <c r="G21" s="13" t="inlineStr">
        <is>
          <t>Company-2 tickets AND changes excluded.</t>
        </is>
      </c>
      <c r="H21" s="18" t="inlineStr">
        <is>
          <t>Not run</t>
        </is>
      </c>
      <c r="I21" s="18" t="n"/>
      <c r="J21" s="18" t="n"/>
      <c r="K21" s="19" t="n"/>
    </row>
    <row r="22">
      <c r="A22" s="13" t="inlineStr">
        <is>
          <t>2 Multi-tenancy</t>
        </is>
      </c>
      <c r="B22" s="14" t="inlineStr">
        <is>
          <t>S2-04</t>
        </is>
      </c>
      <c r="C22" s="15" t="inlineStr">
        <is>
          <t>Isolation</t>
        </is>
      </c>
      <c r="D22" s="48" t="inlineStr">
        <is>
          <t>New</t>
        </is>
      </c>
      <c r="E22" s="17" t="inlineStr">
        <is>
          <t>10e</t>
        </is>
      </c>
      <c r="F22" s="13" t="inlineStr">
        <is>
          <t>Company-2 asset runs 'App X'. As A: Software &gt; app &gt; machines + drill-downs.</t>
        </is>
      </c>
      <c r="G22" s="13" t="inlineStr">
        <is>
          <t>Company-2 hostnames excluded.</t>
        </is>
      </c>
      <c r="H22" s="18" t="inlineStr">
        <is>
          <t>Not run</t>
        </is>
      </c>
      <c r="I22" s="18" t="n"/>
      <c r="J22" s="18" t="n"/>
      <c r="K22" s="19" t="n"/>
    </row>
    <row r="23">
      <c r="A23" s="13" t="inlineStr">
        <is>
          <t>2 Multi-tenancy</t>
        </is>
      </c>
      <c r="B23" s="14" t="inlineStr">
        <is>
          <t>S2-05</t>
        </is>
      </c>
      <c r="C23" s="15" t="inlineStr">
        <is>
          <t>Isolation</t>
        </is>
      </c>
      <c r="D23" s="48" t="inlineStr">
        <is>
          <t>New</t>
        </is>
      </c>
      <c r="E23" s="17" t="inlineStr">
        <is>
          <t>10e</t>
        </is>
      </c>
      <c r="F23" s="13" t="inlineStr">
        <is>
          <t>Company-2 asset on a company-2 contract. As A: covered assets / endpoint with its id.</t>
        </is>
      </c>
      <c r="G23" s="13" t="inlineStr">
        <is>
          <t>Company-2 asset detail not returned to A.</t>
        </is>
      </c>
      <c r="H23" s="18" t="inlineStr">
        <is>
          <t>Not run</t>
        </is>
      </c>
      <c r="I23" s="18" t="n"/>
      <c r="J23" s="18" t="n"/>
      <c r="K23" s="19" t="n"/>
    </row>
    <row r="24">
      <c r="A24" s="13" t="inlineStr">
        <is>
          <t>2 Multi-tenancy</t>
        </is>
      </c>
      <c r="B24" s="14" t="inlineStr">
        <is>
          <t>S2-06</t>
        </is>
      </c>
      <c r="C24" s="15" t="inlineStr">
        <is>
          <t>Isolation</t>
        </is>
      </c>
      <c r="D24" s="48" t="inlineStr">
        <is>
          <t>New</t>
        </is>
      </c>
      <c r="E24" s="17" t="inlineStr">
        <is>
          <t>10e</t>
        </is>
      </c>
      <c r="F24" s="13" t="inlineStr">
        <is>
          <t>As A, guess a company-2 change_id vs get_change_cmdb_objects / get_change_impact / check_freeze.</t>
        </is>
      </c>
      <c r="G24" s="13" t="inlineStr">
        <is>
          <t>'Change not found' - no CI/impact/schedule leaked.</t>
        </is>
      </c>
      <c r="H24" s="18" t="inlineStr">
        <is>
          <t>Not run</t>
        </is>
      </c>
      <c r="I24" s="18" t="n"/>
      <c r="J24" s="18" t="n"/>
      <c r="K24" s="19" t="n"/>
    </row>
    <row r="25">
      <c r="A25" s="13" t="inlineStr">
        <is>
          <t>2 Multi-tenancy</t>
        </is>
      </c>
      <c r="B25" s="14" t="inlineStr">
        <is>
          <t>S2-07</t>
        </is>
      </c>
      <c r="C25" s="15" t="inlineStr">
        <is>
          <t>Isolation</t>
        </is>
      </c>
      <c r="D25" s="48" t="inlineStr">
        <is>
          <t>New</t>
        </is>
      </c>
      <c r="E25" s="17" t="inlineStr">
        <is>
          <t>10e</t>
        </is>
      </c>
      <c r="F25" s="13" t="inlineStr">
        <is>
          <t>Company-1 API key: GET /software/apps/{id}/machines and GET /changes/{id} (linked_problems).</t>
        </is>
      </c>
      <c r="G25" s="13" t="inlineStr">
        <is>
          <t>No company-2 hostnames; no company-2 problem numbers/titles.</t>
        </is>
      </c>
      <c r="H25" s="18" t="inlineStr">
        <is>
          <t>Not run</t>
        </is>
      </c>
      <c r="I25" s="18" t="n"/>
      <c r="J25" s="18" t="n"/>
      <c r="K25" s="19" t="n"/>
    </row>
    <row r="26">
      <c r="A26" s="13" t="inlineStr">
        <is>
          <t>2 Multi-tenancy</t>
        </is>
      </c>
      <c r="B26" s="14" t="inlineStr">
        <is>
          <t>S2-08</t>
        </is>
      </c>
      <c r="C26" s="15" t="inlineStr">
        <is>
          <t>Isolation</t>
        </is>
      </c>
      <c r="D26" s="50" t="inlineStr">
        <is>
          <t>Baseline</t>
        </is>
      </c>
      <c r="E26" s="17" t="inlineStr">
        <is>
          <t>-</t>
        </is>
      </c>
      <c r="F26" s="13" t="inlineStr">
        <is>
          <t>Sanity: ticket list/reports, exec dashboard, asset list, change list/calendar as A.</t>
        </is>
      </c>
      <c r="G26" s="13" t="inlineStr">
        <is>
          <t>Already company-scoped - no company-2 rows.</t>
        </is>
      </c>
      <c r="H26" s="18" t="inlineStr">
        <is>
          <t>Not run</t>
        </is>
      </c>
      <c r="I26" s="18" t="n"/>
      <c r="J26" s="18" t="n"/>
      <c r="K26" s="19" t="n"/>
    </row>
    <row r="27">
      <c r="A27" s="13" t="inlineStr">
        <is>
          <t>3 Tickets</t>
        </is>
      </c>
      <c r="B27" s="14" t="inlineStr">
        <is>
          <t>S3-01</t>
        </is>
      </c>
      <c r="C27" s="15" t="inlineStr">
        <is>
          <t>Lifecycle</t>
        </is>
      </c>
      <c r="D27" s="50" t="inlineStr">
        <is>
          <t>Baseline</t>
        </is>
      </c>
      <c r="E27" s="17" t="inlineStr">
        <is>
          <t>-</t>
        </is>
      </c>
      <c r="F27" s="13" t="inlineStr">
        <is>
          <t>Email a monitored mailbox; then create a ticket manually.</t>
        </is>
      </c>
      <c r="G27" s="13" t="inlineStr">
        <is>
          <t>Both produce tickets w/ correct number/prefix; inbound routed to right company by sender domain.</t>
        </is>
      </c>
      <c r="H27" s="18" t="inlineStr">
        <is>
          <t>Not run</t>
        </is>
      </c>
      <c r="I27" s="18" t="n"/>
      <c r="J27" s="18" t="n"/>
      <c r="K27" s="19" t="n"/>
    </row>
    <row r="28">
      <c r="A28" s="13" t="inlineStr">
        <is>
          <t>3 Tickets</t>
        </is>
      </c>
      <c r="B28" s="14" t="inlineStr">
        <is>
          <t>S3-02</t>
        </is>
      </c>
      <c r="C28" s="15" t="inlineStr">
        <is>
          <t>Lifecycle</t>
        </is>
      </c>
      <c r="D28" s="50" t="inlineStr">
        <is>
          <t>Baseline</t>
        </is>
      </c>
      <c r="E28" s="17" t="inlineStr">
        <is>
          <t>-</t>
        </is>
      </c>
      <c r="F28" s="13" t="inlineStr">
        <is>
          <t>Change status/priority/type/category/subcategory; assign; set custom fields; reply + note + time entry.</t>
        </is>
      </c>
      <c r="G28" s="13" t="inlineStr">
        <is>
          <t>Each persists and appears in audit; reading pane summary reflects them.</t>
        </is>
      </c>
      <c r="H28" s="18" t="inlineStr">
        <is>
          <t>Not run</t>
        </is>
      </c>
      <c r="I28" s="18" t="n"/>
      <c r="J28" s="18" t="n"/>
      <c r="K28" s="19" t="n"/>
    </row>
    <row r="29">
      <c r="A29" s="13" t="inlineStr">
        <is>
          <t>3 Tickets</t>
        </is>
      </c>
      <c r="B29" s="14" t="inlineStr">
        <is>
          <t>S3-03</t>
        </is>
      </c>
      <c r="C29" s="15" t="inlineStr">
        <is>
          <t>Productivity</t>
        </is>
      </c>
      <c r="D29" s="50" t="inlineStr">
        <is>
          <t>Baseline</t>
        </is>
      </c>
      <c r="E29" s="17" t="inlineStr">
        <is>
          <t>-</t>
        </is>
      </c>
      <c r="F29" s="13" t="inlineStr">
        <is>
          <t>Insert a canned response; merge two tickets; bulk-update status/assignee/priority.</t>
        </is>
      </c>
      <c r="G29" s="13" t="inlineStr">
        <is>
          <t>Canned merges placeholders; merge consolidates; bulk applies to all selected.</t>
        </is>
      </c>
      <c r="H29" s="18" t="inlineStr">
        <is>
          <t>Not run</t>
        </is>
      </c>
      <c r="I29" s="18" t="n"/>
      <c r="J29" s="18" t="n"/>
      <c r="K29" s="19" t="n"/>
    </row>
    <row r="30">
      <c r="A30" s="13" t="inlineStr">
        <is>
          <t>3 Tickets</t>
        </is>
      </c>
      <c r="B30" s="14" t="inlineStr">
        <is>
          <t>S3-04</t>
        </is>
      </c>
      <c r="C30" s="15" t="inlineStr">
        <is>
          <t>Productivity</t>
        </is>
      </c>
      <c r="D30" s="50" t="inlineStr">
        <is>
          <t>Baseline</t>
        </is>
      </c>
      <c r="E30" s="17" t="inlineStr">
        <is>
          <t>-</t>
        </is>
      </c>
      <c r="F30" s="13" t="inlineStr">
        <is>
          <t>Add tags; add a watcher; route to a department with an auto-assign strategy.</t>
        </is>
      </c>
      <c r="G30" s="13" t="inlineStr">
        <is>
          <t>Tags/watchers persist; auto-assign picks per round-robin/load-balanced.</t>
        </is>
      </c>
      <c r="H30" s="18" t="inlineStr">
        <is>
          <t>Not run</t>
        </is>
      </c>
      <c r="I30" s="18" t="n"/>
      <c r="J30" s="18" t="n"/>
      <c r="K30" s="19" t="n"/>
    </row>
    <row r="31">
      <c r="A31" s="13" t="inlineStr">
        <is>
          <t>3 Tickets</t>
        </is>
      </c>
      <c r="B31" s="14" t="inlineStr">
        <is>
          <t>S3-05</t>
        </is>
      </c>
      <c r="C31" s="15" t="inlineStr">
        <is>
          <t>Queues</t>
        </is>
      </c>
      <c r="D31" s="50" t="inlineStr">
        <is>
          <t>Baseline</t>
        </is>
      </c>
      <c r="E31" s="17" t="inlineStr">
        <is>
          <t>-</t>
        </is>
      </c>
      <c r="F31" s="13" t="inlineStr">
        <is>
          <t>Build an ad-hoc filter; save as a personal queue and (admin) a shared queue.</t>
        </is>
      </c>
      <c r="G31" s="13" t="inlineStr">
        <is>
          <t>Live count; shared visible to others, personal only to owner.</t>
        </is>
      </c>
      <c r="H31" s="18" t="inlineStr">
        <is>
          <t>Not run</t>
        </is>
      </c>
      <c r="I31" s="18" t="n"/>
      <c r="J31" s="18" t="n"/>
      <c r="K31" s="19" t="n"/>
    </row>
    <row r="32">
      <c r="A32" s="13" t="inlineStr">
        <is>
          <t>3 Tickets</t>
        </is>
      </c>
      <c r="B32" s="14" t="inlineStr">
        <is>
          <t>S3-06</t>
        </is>
      </c>
      <c r="C32" s="15" t="inlineStr">
        <is>
          <t>Portal</t>
        </is>
      </c>
      <c r="D32" s="50" t="inlineStr">
        <is>
          <t>Baseline</t>
        </is>
      </c>
      <c r="E32" s="17" t="inlineStr">
        <is>
          <t>-</t>
        </is>
      </c>
      <c r="F32" s="13" t="inlineStr">
        <is>
          <t>Portal: submit a catalog request (incl. item with attached form + approval).</t>
        </is>
      </c>
      <c r="G32" s="13" t="inlineStr">
        <is>
          <t>Ticket w/ form answers summarised; approval held until approved; company branding applied.</t>
        </is>
      </c>
      <c r="H32" s="18" t="inlineStr">
        <is>
          <t>Not run</t>
        </is>
      </c>
      <c r="I32" s="18" t="n"/>
      <c r="J32" s="18" t="n"/>
      <c r="K32" s="19" t="n"/>
    </row>
    <row r="33">
      <c r="A33" s="13" t="inlineStr">
        <is>
          <t>3 Tickets</t>
        </is>
      </c>
      <c r="B33" s="14" t="inlineStr">
        <is>
          <t>S3-07</t>
        </is>
      </c>
      <c r="C33" s="15" t="inlineStr">
        <is>
          <t>CSAT</t>
        </is>
      </c>
      <c r="D33" s="50" t="inlineStr">
        <is>
          <t>Baseline</t>
        </is>
      </c>
      <c r="E33" s="17" t="inlineStr">
        <is>
          <t>-</t>
        </is>
      </c>
      <c r="F33" s="13" t="inlineStr">
        <is>
          <t>Close a ticket with CSAT auto-mode on.</t>
        </is>
      </c>
      <c r="G33" s="13" t="inlineStr">
        <is>
          <t>Closed email + CSAT survey sent; response recorded.</t>
        </is>
      </c>
      <c r="H33" s="18" t="inlineStr">
        <is>
          <t>Not run</t>
        </is>
      </c>
      <c r="I33" s="18" t="n"/>
      <c r="J33" s="18" t="n"/>
      <c r="K33" s="19" t="n"/>
    </row>
    <row r="34">
      <c r="A34" s="13" t="inlineStr">
        <is>
          <t>4 SLA &amp; snapshot</t>
        </is>
      </c>
      <c r="B34" s="14" t="inlineStr">
        <is>
          <t>S4-01</t>
        </is>
      </c>
      <c r="C34" s="15" t="inlineStr">
        <is>
          <t>SLA engine</t>
        </is>
      </c>
      <c r="D34" s="50" t="inlineStr">
        <is>
          <t>Baseline</t>
        </is>
      </c>
      <c r="E34" s="17" t="inlineStr">
        <is>
          <t>-</t>
        </is>
      </c>
      <c r="F34" s="13" t="inlineStr">
        <is>
          <t>Configure an SLA policy (per-priority targets + calendar); assign to a company.</t>
        </is>
      </c>
      <c r="G34" s="13" t="inlineStr">
        <is>
          <t>New ticket shows correct target &amp; remaining in reading pane.</t>
        </is>
      </c>
      <c r="H34" s="18" t="inlineStr">
        <is>
          <t>Not run</t>
        </is>
      </c>
      <c r="I34" s="18" t="n"/>
      <c r="J34" s="18" t="n"/>
      <c r="K34" s="19" t="n"/>
    </row>
    <row r="35">
      <c r="A35" s="13" t="inlineStr">
        <is>
          <t>4 SLA &amp; snapshot</t>
        </is>
      </c>
      <c r="B35" s="14" t="inlineStr">
        <is>
          <t>S4-02</t>
        </is>
      </c>
      <c r="C35" s="15" t="inlineStr">
        <is>
          <t>SLA engine</t>
        </is>
      </c>
      <c r="D35" s="50" t="inlineStr">
        <is>
          <t>Baseline</t>
        </is>
      </c>
      <c r="E35" s="17" t="inlineStr">
        <is>
          <t>-</t>
        </is>
      </c>
      <c r="F35" s="13" t="inlineStr">
        <is>
          <t>Attach a primary CMDB device w/ tighter device policy; change priority.</t>
        </is>
      </c>
      <c r="G35" s="13" t="inlineStr">
        <is>
          <t>Re-resolves device &gt; company &gt; default; targets update on next read.</t>
        </is>
      </c>
      <c r="H35" s="18" t="inlineStr">
        <is>
          <t>Not run</t>
        </is>
      </c>
      <c r="I35" s="18" t="n"/>
      <c r="J35" s="18" t="n"/>
      <c r="K35" s="19" t="n"/>
    </row>
    <row r="36">
      <c r="A36" s="13" t="inlineStr">
        <is>
          <t>4 SLA &amp; snapshot</t>
        </is>
      </c>
      <c r="B36" s="14" t="inlineStr">
        <is>
          <t>S4-03</t>
        </is>
      </c>
      <c r="C36" s="15" t="inlineStr">
        <is>
          <t>SLA engine</t>
        </is>
      </c>
      <c r="D36" s="50" t="inlineStr">
        <is>
          <t>Baseline</t>
        </is>
      </c>
      <c r="E36" s="17" t="inlineStr">
        <is>
          <t>-</t>
        </is>
      </c>
      <c r="F36" s="13" t="inlineStr">
        <is>
          <t>Move ticket into a pausing status.</t>
        </is>
      </c>
      <c r="G36" s="13" t="inlineStr">
        <is>
          <t>Elapsed business minutes exclude paused intervals.</t>
        </is>
      </c>
      <c r="H36" s="18" t="inlineStr">
        <is>
          <t>Not run</t>
        </is>
      </c>
      <c r="I36" s="18" t="n"/>
      <c r="J36" s="18" t="n"/>
      <c r="K36" s="19" t="n"/>
    </row>
    <row r="37">
      <c r="A37" s="13" t="inlineStr">
        <is>
          <t>4 SLA &amp; snapshot</t>
        </is>
      </c>
      <c r="B37" s="14" t="inlineStr">
        <is>
          <t>S4-04</t>
        </is>
      </c>
      <c r="C37" s="15" t="inlineStr">
        <is>
          <t>SLA engine</t>
        </is>
      </c>
      <c r="D37" s="50" t="inlineStr">
        <is>
          <t>Baseline</t>
        </is>
      </c>
      <c r="E37" s="17" t="inlineStr">
        <is>
          <t>-</t>
        </is>
      </c>
      <c r="F37" s="13" t="inlineStr">
        <is>
          <t>Let the breach cron run against an approaching/breached ticket.</t>
        </is>
      </c>
      <c r="G37" s="13" t="inlineStr">
        <is>
          <t>Warning then breach emails fire once each; sla.warning/sla.breached workflow events emitted.</t>
        </is>
      </c>
      <c r="H37" s="18" t="inlineStr">
        <is>
          <t>Not run</t>
        </is>
      </c>
      <c r="I37" s="18" t="n"/>
      <c r="J37" s="18" t="n"/>
      <c r="K37" s="19" t="n"/>
    </row>
    <row r="38">
      <c r="A38" s="13" t="inlineStr">
        <is>
          <t>4 SLA &amp; snapshot</t>
        </is>
      </c>
      <c r="B38" s="14" t="inlineStr">
        <is>
          <t>S4-05</t>
        </is>
      </c>
      <c r="C38" s="15" t="inlineStr">
        <is>
          <t>Snapshot</t>
        </is>
      </c>
      <c r="D38" s="48" t="inlineStr">
        <is>
          <t>New</t>
        </is>
      </c>
      <c r="E38" s="17" t="inlineStr">
        <is>
          <t>8a</t>
        </is>
      </c>
      <c r="F38" s="13" t="inlineStr">
        <is>
          <t>After the rebuild cron, inspect ticket_sla_snapshot for open tickets.</t>
        </is>
      </c>
      <c r="G38" s="13" t="inlineStr">
        <is>
          <t>Rows with response/resolution_state in ok/approaching/breached/met/na + recent computed_at.</t>
        </is>
      </c>
      <c r="H38" s="18" t="inlineStr">
        <is>
          <t>Not run</t>
        </is>
      </c>
      <c r="I38" s="18" t="n"/>
      <c r="J38" s="18" t="n"/>
      <c r="K38" s="19" t="n"/>
    </row>
    <row r="39">
      <c r="A39" s="13" t="inlineStr">
        <is>
          <t>4 SLA &amp; snapshot</t>
        </is>
      </c>
      <c r="B39" s="14" t="inlineStr">
        <is>
          <t>S4-06</t>
        </is>
      </c>
      <c r="C39" s="15" t="inlineStr">
        <is>
          <t>Snapshot</t>
        </is>
      </c>
      <c r="D39" s="48" t="inlineStr">
        <is>
          <t>New</t>
        </is>
      </c>
      <c r="E39" s="17" t="inlineStr">
        <is>
          <t>8a</t>
        </is>
      </c>
      <c r="F39" s="13" t="inlineStr">
        <is>
          <t>Close a tracked ticket within target; another past target.</t>
        </is>
      </c>
      <c r="G39" s="13" t="inlineStr">
        <is>
          <t>Stamps met vs breached at close (late-closed = breached, not met).</t>
        </is>
      </c>
      <c r="H39" s="18" t="inlineStr">
        <is>
          <t>Not run</t>
        </is>
      </c>
      <c r="I39" s="18" t="n"/>
      <c r="J39" s="18" t="n"/>
      <c r="K39" s="19" t="n"/>
    </row>
    <row r="40">
      <c r="A40" s="13" t="inlineStr">
        <is>
          <t>4 SLA &amp; snapshot</t>
        </is>
      </c>
      <c r="B40" s="14" t="inlineStr">
        <is>
          <t>S4-07</t>
        </is>
      </c>
      <c r="C40" s="15" t="inlineStr">
        <is>
          <t>Snapshot</t>
        </is>
      </c>
      <c r="D40" s="48" t="inlineStr">
        <is>
          <t>New</t>
        </is>
      </c>
      <c r="E40" s="17" t="inlineStr">
        <is>
          <t>8a</t>
        </is>
      </c>
      <c r="F40" s="13" t="inlineStr">
        <is>
          <t>Filter by SLA response and SLA resolution state in report builder / queue filters.</t>
        </is>
      </c>
      <c r="G40" s="13" t="inlineStr">
        <is>
          <t>Results narrow to matching snapshot states.</t>
        </is>
      </c>
      <c r="H40" s="18" t="inlineStr">
        <is>
          <t>Not run</t>
        </is>
      </c>
      <c r="I40" s="18" t="n"/>
      <c r="J40" s="18" t="n"/>
      <c r="K40" s="19" t="n"/>
    </row>
    <row r="41">
      <c r="A41" s="13" t="inlineStr">
        <is>
          <t>4 SLA &amp; snapshot</t>
        </is>
      </c>
      <c r="B41" s="14" t="inlineStr">
        <is>
          <t>S4-08</t>
        </is>
      </c>
      <c r="C41" s="15" t="inlineStr">
        <is>
          <t>Snapshot</t>
        </is>
      </c>
      <c r="D41" s="48" t="inlineStr">
        <is>
          <t>New</t>
        </is>
      </c>
      <c r="E41" s="17" t="inlineStr">
        <is>
          <t>8a</t>
        </is>
      </c>
      <c r="F41" s="13" t="inlineStr">
        <is>
          <t>Group a report by SLA response outcome / SLA resolution outcome.</t>
        </is>
      </c>
      <c r="G41" s="13" t="inlineStr">
        <is>
          <t>Buckets On track/Approaching/Breached/Met/Not tracked; untracked collapses correctly.</t>
        </is>
      </c>
      <c r="H41" s="18" t="inlineStr">
        <is>
          <t>Not run</t>
        </is>
      </c>
      <c r="I41" s="18" t="n"/>
      <c r="J41" s="18" t="n"/>
      <c r="K41" s="19" t="n"/>
    </row>
    <row r="42">
      <c r="A42" s="13" t="inlineStr">
        <is>
          <t>5 Reporting</t>
        </is>
      </c>
      <c r="B42" s="14" t="inlineStr">
        <is>
          <t>S5-01</t>
        </is>
      </c>
      <c r="C42" s="15" t="inlineStr">
        <is>
          <t>Ad-hoc</t>
        </is>
      </c>
      <c r="D42" s="50" t="inlineStr">
        <is>
          <t>Baseline</t>
        </is>
      </c>
      <c r="E42" s="17" t="inlineStr">
        <is>
          <t>-</t>
        </is>
      </c>
      <c r="F42" s="13" t="inlineStr">
        <is>
          <t>Run ad-hoc reports grouped by each dimension; export CSV.</t>
        </is>
      </c>
      <c r="G42" s="13" t="inlineStr">
        <is>
          <t>Counts + chart + CSV consistent and tenant-scoped.</t>
        </is>
      </c>
      <c r="H42" s="18" t="inlineStr">
        <is>
          <t>Not run</t>
        </is>
      </c>
      <c r="I42" s="18" t="n"/>
      <c r="J42" s="18" t="n"/>
      <c r="K42" s="19" t="n"/>
    </row>
    <row r="43">
      <c r="A43" s="13" t="inlineStr">
        <is>
          <t>5 Reporting</t>
        </is>
      </c>
      <c r="B43" s="14" t="inlineStr">
        <is>
          <t>S5-02</t>
        </is>
      </c>
      <c r="C43" s="15" t="inlineStr">
        <is>
          <t>Scheduled</t>
        </is>
      </c>
      <c r="D43" s="48" t="inlineStr">
        <is>
          <t>New</t>
        </is>
      </c>
      <c r="E43" s="17" t="inlineStr">
        <is>
          <t>8b</t>
        </is>
      </c>
      <c r="F43" s="13" t="inlineStr">
        <is>
          <t>Save a scheduled report (group-by + filters, cadence, recipients, format).</t>
        </is>
      </c>
      <c r="G43" s="13" t="inlineStr">
        <is>
          <t>Lists w/ cadence + next run; personal vs shared ownership respected.</t>
        </is>
      </c>
      <c r="H43" s="18" t="inlineStr">
        <is>
          <t>Not run</t>
        </is>
      </c>
      <c r="I43" s="18" t="n"/>
      <c r="J43" s="18" t="n"/>
      <c r="K43" s="19" t="n"/>
    </row>
    <row r="44">
      <c r="A44" s="13" t="inlineStr">
        <is>
          <t>5 Reporting</t>
        </is>
      </c>
      <c r="B44" s="14" t="inlineStr">
        <is>
          <t>S5-03</t>
        </is>
      </c>
      <c r="C44" s="15" t="inlineStr">
        <is>
          <t>Scheduled</t>
        </is>
      </c>
      <c r="D44" s="48" t="inlineStr">
        <is>
          <t>New</t>
        </is>
      </c>
      <c r="E44" s="17" t="inlineStr">
        <is>
          <t>8b</t>
        </is>
      </c>
      <c r="F44" s="13" t="inlineStr">
        <is>
          <t>Force due (next_run_at in past); run cron/scheduled_reports.php.</t>
        </is>
      </c>
      <c r="G44" s="13" t="inlineStr">
        <is>
          <t>Recipients emailed (summary + CSV per format); next_run_at advances; last_run_at set; logged [scheduled-reports].</t>
        </is>
      </c>
      <c r="H44" s="18" t="inlineStr">
        <is>
          <t>Not run</t>
        </is>
      </c>
      <c r="I44" s="18" t="n"/>
      <c r="J44" s="18" t="n"/>
      <c r="K44" s="19" t="n"/>
    </row>
    <row r="45">
      <c r="A45" s="13" t="inlineStr">
        <is>
          <t>5 Reporting</t>
        </is>
      </c>
      <c r="B45" s="14" t="inlineStr">
        <is>
          <t>S5-04</t>
        </is>
      </c>
      <c r="C45" s="15" t="inlineStr">
        <is>
          <t>Scheduled</t>
        </is>
      </c>
      <c r="D45" s="48" t="inlineStr">
        <is>
          <t>New</t>
        </is>
      </c>
      <c r="E45" s="17" t="inlineStr">
        <is>
          <t>8b</t>
        </is>
      </c>
      <c r="F45" s="13" t="inlineStr">
        <is>
          <t>Edit a schedule's recipients (not cadence), then its cadence.</t>
        </is>
      </c>
      <c r="G45" s="13" t="inlineStr">
        <is>
          <t>Recipient edit keeps schedule; cadence change recomputes next run.</t>
        </is>
      </c>
      <c r="H45" s="18" t="inlineStr">
        <is>
          <t>Not run</t>
        </is>
      </c>
      <c r="I45" s="18" t="n"/>
      <c r="J45" s="18" t="n"/>
      <c r="K45" s="19" t="n"/>
    </row>
    <row r="46">
      <c r="A46" s="13" t="inlineStr">
        <is>
          <t>5 Reporting</t>
        </is>
      </c>
      <c r="B46" s="14" t="inlineStr">
        <is>
          <t>S5-05</t>
        </is>
      </c>
      <c r="C46" s="15" t="inlineStr">
        <is>
          <t>Scheduled</t>
        </is>
      </c>
      <c r="D46" s="48" t="inlineStr">
        <is>
          <t>New</t>
        </is>
      </c>
      <c r="E46" s="17" t="inlineStr">
        <is>
          <t>8b</t>
        </is>
      </c>
      <c r="F46" s="13" t="inlineStr">
        <is>
          <t>Delete a schedule; check ownership gating (non-admin vs shared).</t>
        </is>
      </c>
      <c r="G46" s="13" t="inlineStr">
        <is>
          <t>Removed; unauthorized delete refused.</t>
        </is>
      </c>
      <c r="H46" s="18" t="inlineStr">
        <is>
          <t>Not run</t>
        </is>
      </c>
      <c r="I46" s="18" t="n"/>
      <c r="J46" s="18" t="n"/>
      <c r="K46" s="19" t="n"/>
    </row>
    <row r="47">
      <c r="A47" s="13" t="inlineStr">
        <is>
          <t>5 Reporting</t>
        </is>
      </c>
      <c r="B47" s="14" t="inlineStr">
        <is>
          <t>S5-06</t>
        </is>
      </c>
      <c r="C47" s="15" t="inlineStr">
        <is>
          <t>Exec dash</t>
        </is>
      </c>
      <c r="D47" s="48" t="inlineStr">
        <is>
          <t>New</t>
        </is>
      </c>
      <c r="E47" s="17" t="inlineStr">
        <is>
          <t>8c</t>
        </is>
      </c>
      <c r="F47" s="13" t="inlineStr">
        <is>
          <t>Reporting &gt; Executive.</t>
        </is>
      </c>
      <c r="G47" s="13" t="inlineStr">
        <is>
          <t>Tiles: open tickets, SLA breach rate, licences over-deployed; charts: open by priority, SLA resolution, assets by status, changes by state; scope label = active company.</t>
        </is>
      </c>
      <c r="H47" s="18" t="inlineStr">
        <is>
          <t>Not run</t>
        </is>
      </c>
      <c r="I47" s="18" t="n"/>
      <c r="J47" s="18" t="n"/>
      <c r="K47" s="19" t="n"/>
    </row>
    <row r="48">
      <c r="A48" s="13" t="inlineStr">
        <is>
          <t>5 Reporting</t>
        </is>
      </c>
      <c r="B48" s="14" t="inlineStr">
        <is>
          <t>S5-07</t>
        </is>
      </c>
      <c r="C48" s="15" t="inlineStr">
        <is>
          <t>Exec dash</t>
        </is>
      </c>
      <c r="D48" s="48" t="inlineStr">
        <is>
          <t>New</t>
        </is>
      </c>
      <c r="E48" s="17" t="inlineStr">
        <is>
          <t>8c</t>
        </is>
      </c>
      <c r="F48" s="13" t="inlineStr">
        <is>
          <t>On an install without assets/changes data.</t>
        </is>
      </c>
      <c r="G48" s="13" t="inlineStr">
        <is>
          <t>Those cards show 'No data' (no 500).</t>
        </is>
      </c>
      <c r="H48" s="18" t="inlineStr">
        <is>
          <t>Not run</t>
        </is>
      </c>
      <c r="I48" s="18" t="n"/>
      <c r="J48" s="18" t="n"/>
      <c r="K48" s="19" t="n"/>
    </row>
    <row r="49">
      <c r="A49" s="13" t="inlineStr">
        <is>
          <t>5 Reporting</t>
        </is>
      </c>
      <c r="B49" s="14" t="inlineStr">
        <is>
          <t>S5-08</t>
        </is>
      </c>
      <c r="C49" s="15" t="inlineStr">
        <is>
          <t>Baseline</t>
        </is>
      </c>
      <c r="D49" s="50" t="inlineStr">
        <is>
          <t>Baseline</t>
        </is>
      </c>
      <c r="E49" s="17" t="inlineStr">
        <is>
          <t>-</t>
        </is>
      </c>
      <c r="F49" s="13" t="inlineStr">
        <is>
          <t>System logs, per-module ticket dashboards, Intune reporting still render.</t>
        </is>
      </c>
      <c r="G49" s="13" t="inlineStr">
        <is>
          <t>No regressions.</t>
        </is>
      </c>
      <c r="H49" s="18" t="inlineStr">
        <is>
          <t>Not run</t>
        </is>
      </c>
      <c r="I49" s="18" t="n"/>
      <c r="J49" s="18" t="n"/>
      <c r="K49" s="19" t="n"/>
    </row>
    <row r="50">
      <c r="A50" s="13" t="inlineStr">
        <is>
          <t>5 Reporting</t>
        </is>
      </c>
      <c r="B50" s="14" t="inlineStr">
        <is>
          <t>S5-09</t>
        </is>
      </c>
      <c r="C50" s="15" t="inlineStr">
        <is>
          <t>Scheduled</t>
        </is>
      </c>
      <c r="D50" s="48" t="inlineStr">
        <is>
          <t>New</t>
        </is>
      </c>
      <c r="E50" s="17" t="inlineStr">
        <is>
          <t>Polish</t>
        </is>
      </c>
      <c r="F50" s="13" t="inlineStr">
        <is>
          <t>Schedule a report with delivery format "Summary + CSV attachment" and let cron/scheduled_reports.php send it. Repeat for each mailbox provider you run (Microsoft Graph, Gmail, IMAP/SMTP).</t>
        </is>
      </c>
      <c r="G50" s="13" t="inlineStr">
        <is>
          <t>The email arrives with a real file attachment named &lt;report-slug&gt;-YYYY-MM-DD.csv that opens in Excel; the body carries the summary table and names the file instead of dumping the CSV into a &lt;pre&gt; block. Same result on all three provider paths.</t>
        </is>
      </c>
      <c r="H50" s="18" t="inlineStr">
        <is>
          <t>Not run</t>
        </is>
      </c>
      <c r="I50" s="18" t="n"/>
      <c r="J50" s="18" t="n"/>
      <c r="K50" s="19" t="n"/>
    </row>
    <row r="51">
      <c r="A51" s="13" t="inlineStr">
        <is>
          <t>5 Reporting</t>
        </is>
      </c>
      <c r="B51" s="14" t="inlineStr">
        <is>
          <t>S5-10</t>
        </is>
      </c>
      <c r="C51" s="15" t="inlineStr">
        <is>
          <t>Scheduled</t>
        </is>
      </c>
      <c r="D51" s="48" t="inlineStr">
        <is>
          <t>New</t>
        </is>
      </c>
      <c r="E51" s="17" t="inlineStr">
        <is>
          <t>Polish</t>
        </is>
      </c>
      <c r="F51" s="13" t="inlineStr">
        <is>
          <t>Set the format to "Summary only" and re-run. Then send an ordinary ticket reply and trigger an SLA breach email.</t>
        </is>
      </c>
      <c r="G51" s="13" t="inlineStr">
        <is>
          <t>Summary-only sends no attachment. Ticket replies, breach mail and template email are unchanged single-part HTML - the new attachment parameter defaults to none, so no existing send path changes shape.</t>
        </is>
      </c>
      <c r="H51" s="18" t="inlineStr">
        <is>
          <t>Not run</t>
        </is>
      </c>
      <c r="I51" s="18" t="n"/>
      <c r="J51" s="18" t="n"/>
      <c r="K51" s="19" t="n"/>
    </row>
    <row r="52">
      <c r="A52" s="13" t="inlineStr">
        <is>
          <t>6 Assets</t>
        </is>
      </c>
      <c r="B52" s="14" t="inlineStr">
        <is>
          <t>S6-01</t>
        </is>
      </c>
      <c r="C52" s="15" t="inlineStr">
        <is>
          <t>Inventory</t>
        </is>
      </c>
      <c r="D52" s="50" t="inlineStr">
        <is>
          <t>Baseline</t>
        </is>
      </c>
      <c r="E52" s="17" t="inlineStr">
        <is>
          <t>-</t>
        </is>
      </c>
      <c r="F52" s="13" t="inlineStr">
        <is>
          <t>Browse list/detail; edit type/status/location/supplier; assign a user; record a checkout.</t>
        </is>
      </c>
      <c r="G52" s="13" t="inlineStr">
        <is>
          <t>All persist; history/audit records changes.</t>
        </is>
      </c>
      <c r="H52" s="18" t="inlineStr">
        <is>
          <t>Not run</t>
        </is>
      </c>
      <c r="I52" s="18" t="n"/>
      <c r="J52" s="18" t="n"/>
      <c r="K52" s="19" t="n"/>
    </row>
    <row r="53">
      <c r="A53" s="13" t="inlineStr">
        <is>
          <t>6 Assets</t>
        </is>
      </c>
      <c r="B53" s="14" t="inlineStr">
        <is>
          <t>S6-02</t>
        </is>
      </c>
      <c r="C53" s="15" t="inlineStr">
        <is>
          <t>Lifecycle</t>
        </is>
      </c>
      <c r="D53" s="48" t="inlineStr">
        <is>
          <t>New</t>
        </is>
      </c>
      <c r="E53" s="17" t="inlineStr">
        <is>
          <t>9e</t>
        </is>
      </c>
      <c r="F53" s="13" t="inlineStr">
        <is>
          <t>Set End of life, Disposal date, Disposal method on an asset; reload.</t>
        </is>
      </c>
      <c r="G53" s="13" t="inlineStr">
        <is>
          <t>Values persist (get_assets.php); audited like other lifecycle fields.</t>
        </is>
      </c>
      <c r="H53" s="18" t="inlineStr">
        <is>
          <t>Not run</t>
        </is>
      </c>
      <c r="I53" s="18" t="n"/>
      <c r="J53" s="18" t="n"/>
      <c r="K53" s="19" t="n"/>
    </row>
    <row r="54">
      <c r="A54" s="13" t="inlineStr">
        <is>
          <t>6 Assets</t>
        </is>
      </c>
      <c r="B54" s="14" t="inlineStr">
        <is>
          <t>S6-03</t>
        </is>
      </c>
      <c r="C54" s="15" t="inlineStr">
        <is>
          <t>Lifecycle</t>
        </is>
      </c>
      <c r="D54" s="48" t="inlineStr">
        <is>
          <t>New</t>
        </is>
      </c>
      <c r="E54" s="17" t="inlineStr">
        <is>
          <t>9e</t>
        </is>
      </c>
      <c r="F54" s="13" t="inlineStr">
        <is>
          <t>Workflow on asset.eol_approaching; EOL date within 90d; run workflow cron.</t>
        </is>
      </c>
      <c r="G54" s="13" t="inlineStr">
        <is>
          <t>Fires at 90/30/7/1 windows (asset + window_days payload); once per window.</t>
        </is>
      </c>
      <c r="H54" s="18" t="inlineStr">
        <is>
          <t>Not run</t>
        </is>
      </c>
      <c r="I54" s="18" t="n"/>
      <c r="J54" s="18" t="n"/>
      <c r="K54" s="19" t="n"/>
    </row>
    <row r="55">
      <c r="A55" s="13" t="inlineStr">
        <is>
          <t>6 Assets</t>
        </is>
      </c>
      <c r="B55" s="14" t="inlineStr">
        <is>
          <t>S6-04</t>
        </is>
      </c>
      <c r="C55" s="15" t="inlineStr">
        <is>
          <t>Baseline</t>
        </is>
      </c>
      <c r="D55" s="50" t="inlineStr">
        <is>
          <t>Baseline</t>
        </is>
      </c>
      <c r="E55" s="17" t="inlineStr">
        <is>
          <t>-</t>
        </is>
      </c>
      <c r="F55" s="13" t="inlineStr">
        <is>
          <t>Warranty reminder (asset.warranty_expiring) still fires; vCenter/Intune sync unaffected.</t>
        </is>
      </c>
      <c r="G55" s="13" t="inlineStr">
        <is>
          <t>No regressions.</t>
        </is>
      </c>
      <c r="H55" s="18" t="inlineStr">
        <is>
          <t>Not run</t>
        </is>
      </c>
      <c r="I55" s="18" t="n"/>
      <c r="J55" s="18" t="n"/>
      <c r="K55" s="19" t="n"/>
    </row>
    <row r="56">
      <c r="A56" s="13" t="inlineStr">
        <is>
          <t>6 Assets</t>
        </is>
      </c>
      <c r="B56" s="14" t="inlineStr">
        <is>
          <t>S6-05</t>
        </is>
      </c>
      <c r="C56" s="15" t="inlineStr">
        <is>
          <t>Coverage</t>
        </is>
      </c>
      <c r="D56" s="48" t="inlineStr">
        <is>
          <t>New</t>
        </is>
      </c>
      <c r="E56" s="17" t="inlineStr">
        <is>
          <t>Polish</t>
        </is>
      </c>
      <c r="F56" s="13" t="inlineStr">
        <is>
          <t>From Contracts &gt; Covered assets, link an asset to a contract that has service coverage filled in. Open that asset in Asset Management, then open an asset no contract covers.</t>
        </is>
      </c>
      <c r="G56" s="13" t="inlineStr">
        <is>
          <t>The covered asset shows a "Contract coverage" section listing the contract with its service hours / response / resolution, end date and supplier, linking through to the contract. The uncovered asset shows no such section at all.</t>
        </is>
      </c>
      <c r="H56" s="18" t="inlineStr">
        <is>
          <t>Not run</t>
        </is>
      </c>
      <c r="I56" s="18" t="n"/>
      <c r="J56" s="18" t="n"/>
      <c r="K56" s="19" t="n"/>
    </row>
    <row r="57">
      <c r="A57" s="13" t="inlineStr">
        <is>
          <t>6 Assets</t>
        </is>
      </c>
      <c r="B57" s="14" t="inlineStr">
        <is>
          <t>S6-06</t>
        </is>
      </c>
      <c r="C57" s="15" t="inlineStr">
        <is>
          <t>Coverage</t>
        </is>
      </c>
      <c r="D57" s="48" t="inlineStr">
        <is>
          <t>New</t>
        </is>
      </c>
      <c r="E57" s="17" t="inlineStr">
        <is>
          <t>Polish</t>
        </is>
      </c>
      <c r="F57" s="13" t="inlineStr">
        <is>
          <t>As an analyst WITHOUT Contracts module access, open a covered asset.</t>
        </is>
      </c>
      <c r="G57" s="13" t="inlineStr">
        <is>
          <t>The Contract coverage section stays hidden - no error banner, no empty panel - and the rest of the asset detail is unchanged.</t>
        </is>
      </c>
      <c r="H57" s="18" t="inlineStr">
        <is>
          <t>Not run</t>
        </is>
      </c>
      <c r="I57" s="18" t="n"/>
      <c r="J57" s="18" t="n"/>
      <c r="K57" s="19" t="n"/>
    </row>
    <row r="58">
      <c r="A58" s="13" t="inlineStr">
        <is>
          <t>7 Software</t>
        </is>
      </c>
      <c r="B58" s="14" t="inlineStr">
        <is>
          <t>S7-01</t>
        </is>
      </c>
      <c r="C58" s="15" t="inlineStr">
        <is>
          <t>Compliance</t>
        </is>
      </c>
      <c r="D58" s="48" t="inlineStr">
        <is>
          <t>New</t>
        </is>
      </c>
      <c r="E58" s="17" t="inlineStr">
        <is>
          <t>9a</t>
        </is>
      </c>
      <c r="F58" s="13" t="inlineStr">
        <is>
          <t>App with active licence (qty) + installs. Open Software &gt; Compliance.</t>
        </is>
      </c>
      <c r="G58" s="13" t="inlineStr">
        <is>
          <t>Per-app entitled vs installed vs delta; over-deployed flagged; summary tiles correct.</t>
        </is>
      </c>
      <c r="H58" s="18" t="inlineStr">
        <is>
          <t>Not run</t>
        </is>
      </c>
      <c r="I58" s="18" t="n"/>
      <c r="J58" s="18" t="n"/>
      <c r="K58" s="19" t="n"/>
    </row>
    <row r="59">
      <c r="A59" s="13" t="inlineStr">
        <is>
          <t>7 Software</t>
        </is>
      </c>
      <c r="B59" s="14" t="inlineStr">
        <is>
          <t>S7-02</t>
        </is>
      </c>
      <c r="C59" s="15" t="inlineStr">
        <is>
          <t>Compliance</t>
        </is>
      </c>
      <c r="D59" s="48" t="inlineStr">
        <is>
          <t>New</t>
        </is>
      </c>
      <c r="E59" s="17" t="inlineStr">
        <is>
          <t>9a</t>
        </is>
      </c>
      <c r="F59" s="13" t="inlineStr">
        <is>
          <t>Make installed &gt; entitled for one app; refresh.</t>
        </is>
      </c>
      <c r="G59" s="13" t="inlineStr">
        <is>
          <t>Over-deployed (red), sorted first; over-deployed seats total rises.</t>
        </is>
      </c>
      <c r="H59" s="18" t="inlineStr">
        <is>
          <t>Not run</t>
        </is>
      </c>
      <c r="I59" s="18" t="n"/>
      <c r="J59" s="18" t="n"/>
      <c r="K59" s="19" t="n"/>
    </row>
    <row r="60">
      <c r="A60" s="13" t="inlineStr">
        <is>
          <t>7 Software</t>
        </is>
      </c>
      <c r="B60" s="14" t="inlineStr">
        <is>
          <t>S7-03</t>
        </is>
      </c>
      <c r="C60" s="15" t="inlineStr">
        <is>
          <t>Reminders</t>
        </is>
      </c>
      <c r="D60" s="48" t="inlineStr">
        <is>
          <t>New</t>
        </is>
      </c>
      <c r="E60" s="17" t="inlineStr">
        <is>
          <t>9a</t>
        </is>
      </c>
      <c r="F60" s="13" t="inlineStr">
        <is>
          <t>Workflow on licence.expiring; renewal_date within 90d; run workflow cron.</t>
        </is>
      </c>
      <c r="G60" s="13" t="inlineStr">
        <is>
          <t>Fires at each window w/ a licence payload.</t>
        </is>
      </c>
      <c r="H60" s="18" t="inlineStr">
        <is>
          <t>Not run</t>
        </is>
      </c>
      <c r="I60" s="18" t="n"/>
      <c r="J60" s="18" t="n"/>
      <c r="K60" s="19" t="n"/>
    </row>
    <row r="61">
      <c r="A61" s="13" t="inlineStr">
        <is>
          <t>7 Software</t>
        </is>
      </c>
      <c r="B61" s="14" t="inlineStr">
        <is>
          <t>S7-04</t>
        </is>
      </c>
      <c r="C61" s="15" t="inlineStr">
        <is>
          <t>Exec dash</t>
        </is>
      </c>
      <c r="D61" s="48" t="inlineStr">
        <is>
          <t>New</t>
        </is>
      </c>
      <c r="E61" s="17" t="inlineStr">
        <is>
          <t>9a</t>
        </is>
      </c>
      <c r="F61" s="13" t="inlineStr">
        <is>
          <t>Exec dashboard 'licences over-deployed' tile.</t>
        </is>
      </c>
      <c r="G61" s="13" t="inlineStr">
        <is>
          <t>Matches compliance count (global figure - software has no company dimension).</t>
        </is>
      </c>
      <c r="H61" s="18" t="inlineStr">
        <is>
          <t>Not run</t>
        </is>
      </c>
      <c r="I61" s="18" t="n"/>
      <c r="J61" s="18" t="n"/>
      <c r="K61" s="19" t="n"/>
    </row>
    <row r="62">
      <c r="A62" s="13" t="inlineStr">
        <is>
          <t>8 Changes</t>
        </is>
      </c>
      <c r="B62" s="14" t="inlineStr">
        <is>
          <t>S8-01</t>
        </is>
      </c>
      <c r="C62" s="15" t="inlineStr">
        <is>
          <t>Change mgmt</t>
        </is>
      </c>
      <c r="D62" s="50" t="inlineStr">
        <is>
          <t>Baseline</t>
        </is>
      </c>
      <c r="E62" s="17" t="inlineStr">
        <is>
          <t>-</t>
        </is>
      </c>
      <c r="F62" s="13" t="inlineStr">
        <is>
          <t>Create/edit a change; schedule window; risk likelihood x impact; CAB approval; calendar.</t>
        </is>
      </c>
      <c r="G62" s="13" t="inlineStr">
        <is>
          <t>Risk score/level compute; CAB votes tally; change on calendar.</t>
        </is>
      </c>
      <c r="H62" s="18" t="inlineStr">
        <is>
          <t>Not run</t>
        </is>
      </c>
      <c r="I62" s="18" t="n"/>
      <c r="J62" s="18" t="n"/>
      <c r="K62" s="19" t="n"/>
    </row>
    <row r="63">
      <c r="A63" s="13" t="inlineStr">
        <is>
          <t>8 Changes</t>
        </is>
      </c>
      <c r="B63" s="14" t="inlineStr">
        <is>
          <t>S8-02</t>
        </is>
      </c>
      <c r="C63" s="15" t="inlineStr">
        <is>
          <t>Freeze</t>
        </is>
      </c>
      <c r="D63" s="48" t="inlineStr">
        <is>
          <t>New</t>
        </is>
      </c>
      <c r="E63" s="17" t="inlineStr">
        <is>
          <t>9b</t>
        </is>
      </c>
      <c r="F63" s="13" t="inlineStr">
        <is>
          <t>As admin: Change mgmt &gt; Freeze &gt; create a window spanning now.</t>
        </is>
      </c>
      <c r="G63" s="13" t="inlineStr">
        <is>
          <t>Lists 'In effect'; non-admins read-only.</t>
        </is>
      </c>
      <c r="H63" s="18" t="inlineStr">
        <is>
          <t>Not run</t>
        </is>
      </c>
      <c r="I63" s="18" t="n"/>
      <c r="J63" s="18" t="n"/>
      <c r="K63" s="19" t="n"/>
    </row>
    <row r="64">
      <c r="A64" s="13" t="inlineStr">
        <is>
          <t>8 Changes</t>
        </is>
      </c>
      <c r="B64" s="14" t="inlineStr">
        <is>
          <t>S8-03</t>
        </is>
      </c>
      <c r="C64" s="15" t="inlineStr">
        <is>
          <t>Freeze</t>
        </is>
      </c>
      <c r="D64" s="48" t="inlineStr">
        <is>
          <t>New</t>
        </is>
      </c>
      <c r="E64" s="17" t="inlineStr">
        <is>
          <t>9b</t>
        </is>
      </c>
      <c r="F64" s="13" t="inlineStr">
        <is>
          <t>Save/schedule a NON-emergency change whose window lands in the freeze.</t>
        </is>
      </c>
      <c r="G64" s="13" t="inlineStr">
        <is>
          <t>Warning toast on save; save STILL succeeds (soft block).</t>
        </is>
      </c>
      <c r="H64" s="18" t="inlineStr">
        <is>
          <t>Not run</t>
        </is>
      </c>
      <c r="I64" s="18" t="n"/>
      <c r="J64" s="18" t="n"/>
      <c r="K64" s="19" t="n"/>
    </row>
    <row r="65">
      <c r="A65" s="13" t="inlineStr">
        <is>
          <t>8 Changes</t>
        </is>
      </c>
      <c r="B65" s="14" t="inlineStr">
        <is>
          <t>S8-04</t>
        </is>
      </c>
      <c r="C65" s="15" t="inlineStr">
        <is>
          <t>Freeze</t>
        </is>
      </c>
      <c r="D65" s="48" t="inlineStr">
        <is>
          <t>New</t>
        </is>
      </c>
      <c r="E65" s="17" t="inlineStr">
        <is>
          <t>9b</t>
        </is>
      </c>
      <c r="F65" s="13" t="inlineStr">
        <is>
          <t>Repeat with an Emergency-type change.</t>
        </is>
      </c>
      <c r="G65" s="13" t="inlineStr">
        <is>
          <t>No freeze warning (exempt).</t>
        </is>
      </c>
      <c r="H65" s="18" t="inlineStr">
        <is>
          <t>Not run</t>
        </is>
      </c>
      <c r="I65" s="18" t="n"/>
      <c r="J65" s="18" t="n"/>
      <c r="K65" s="19" t="n"/>
    </row>
    <row r="66">
      <c r="A66" s="13" t="inlineStr">
        <is>
          <t>8 Changes</t>
        </is>
      </c>
      <c r="B66" s="14" t="inlineStr">
        <is>
          <t>S8-05</t>
        </is>
      </c>
      <c r="C66" s="15" t="inlineStr">
        <is>
          <t>Freeze</t>
        </is>
      </c>
      <c r="D66" s="48" t="inlineStr">
        <is>
          <t>New</t>
        </is>
      </c>
      <c r="E66" s="17" t="inlineStr">
        <is>
          <t>9b</t>
        </is>
      </c>
      <c r="F66" s="13" t="inlineStr">
        <is>
          <t>Open the change calendar.</t>
        </is>
      </c>
      <c r="G66" s="13" t="inlineStr">
        <is>
          <t>Sidebar 'Freeze windows' panel lists windows (red=in effect, amber=upcoming).</t>
        </is>
      </c>
      <c r="H66" s="18" t="inlineStr">
        <is>
          <t>Not run</t>
        </is>
      </c>
      <c r="I66" s="18" t="n"/>
      <c r="J66" s="18" t="n"/>
      <c r="K66" s="19" t="n"/>
    </row>
    <row r="67">
      <c r="A67" s="13" t="inlineStr">
        <is>
          <t>8 Changes</t>
        </is>
      </c>
      <c r="B67" s="14" t="inlineStr">
        <is>
          <t>S8-06</t>
        </is>
      </c>
      <c r="C67" s="15" t="inlineStr">
        <is>
          <t>CMDB risk</t>
        </is>
      </c>
      <c r="D67" s="48" t="inlineStr">
        <is>
          <t>New</t>
        </is>
      </c>
      <c r="E67" s="17" t="inlineStr">
        <is>
          <t>9c</t>
        </is>
      </c>
      <c r="F67" s="13" t="inlineStr">
        <is>
          <t>On a change, use Affected CIs &amp; impact to search + link a CI with children/dependents; unlink.</t>
        </is>
      </c>
      <c r="G67" s="13" t="inlineStr">
        <is>
          <t>CI links; unlink works.</t>
        </is>
      </c>
      <c r="H67" s="18" t="inlineStr">
        <is>
          <t>Not run</t>
        </is>
      </c>
      <c r="I67" s="18" t="n"/>
      <c r="J67" s="18" t="n"/>
      <c r="K67" s="19" t="n"/>
    </row>
    <row r="68">
      <c r="A68" s="13" t="inlineStr">
        <is>
          <t>8 Changes</t>
        </is>
      </c>
      <c r="B68" s="14" t="inlineStr">
        <is>
          <t>S8-07</t>
        </is>
      </c>
      <c r="C68" s="15" t="inlineStr">
        <is>
          <t>CMDB risk</t>
        </is>
      </c>
      <c r="D68" s="48" t="inlineStr">
        <is>
          <t>New</t>
        </is>
      </c>
      <c r="E68" s="17" t="inlineStr">
        <is>
          <t>9c</t>
        </is>
      </c>
      <c r="F68" s="13" t="inlineStr">
        <is>
          <t>Observe impact summary + Suggested risk impact N/5; click Apply.</t>
        </is>
      </c>
      <c r="G68" s="13" t="inlineStr">
        <is>
          <t>Downstream count reflects blast radius; Apply writes risk_impact_score + recomputes; nothing auto-set without Apply.</t>
        </is>
      </c>
      <c r="H68" s="18" t="inlineStr">
        <is>
          <t>Not run</t>
        </is>
      </c>
      <c r="I68" s="18" t="n"/>
      <c r="J68" s="18" t="n"/>
      <c r="K68" s="19" t="n"/>
    </row>
    <row r="69">
      <c r="A69" s="13" t="inlineStr">
        <is>
          <t>8 Changes</t>
        </is>
      </c>
      <c r="B69" s="14" t="inlineStr">
        <is>
          <t>S8-08</t>
        </is>
      </c>
      <c r="C69" s="15" t="inlineStr">
        <is>
          <t>Freeze</t>
        </is>
      </c>
      <c r="D69" s="48" t="inlineStr">
        <is>
          <t>New</t>
        </is>
      </c>
      <c r="E69" s="17" t="inlineStr">
        <is>
          <t>Polish</t>
        </is>
      </c>
      <c r="F69" s="13" t="inlineStr">
        <is>
          <t>As an admin, create a freeze window scoped to ONE change category (leave Companies empty). Save a change in that category inside the window, then a change in a different category inside the same window.</t>
        </is>
      </c>
      <c r="G69" s="13" t="inlineStr">
        <is>
          <t>The in-category change raises the soft freeze warning on save; the out-of-category change does not. Emergency-type changes stay exempt either way. The admin list shows the category chip under "Applies to".</t>
        </is>
      </c>
      <c r="H69" s="18" t="inlineStr">
        <is>
          <t>Not run</t>
        </is>
      </c>
      <c r="I69" s="18" t="n"/>
      <c r="J69" s="18" t="n"/>
      <c r="K69" s="19" t="n"/>
    </row>
    <row r="70">
      <c r="A70" s="13" t="inlineStr">
        <is>
          <t>8 Changes</t>
        </is>
      </c>
      <c r="B70" s="14" t="inlineStr">
        <is>
          <t>S8-09</t>
        </is>
      </c>
      <c r="C70" s="15" t="inlineStr">
        <is>
          <t>Freeze</t>
        </is>
      </c>
      <c r="D70" s="48" t="inlineStr">
        <is>
          <t>New</t>
        </is>
      </c>
      <c r="E70" s="17" t="inlineStr">
        <is>
          <t>Polish</t>
        </is>
      </c>
      <c r="F70" s="13" t="inlineStr">
        <is>
          <t>On a multi-company install, scope a window to one company and save a change in a different company inside that window. Then clear every scope on the window and repeat.</t>
        </is>
      </c>
      <c r="G70" s="13" t="inlineStr">
        <is>
          <t>Scoped-out company: no warning. With no scopes the row reads "All changes" and the warning fires for every company and category. On a single-company install the Companies selector is hidden - mark N/A.</t>
        </is>
      </c>
      <c r="H70" s="18" t="inlineStr">
        <is>
          <t>Not run</t>
        </is>
      </c>
      <c r="I70" s="18" t="n"/>
      <c r="J70" s="18" t="n"/>
      <c r="K70" s="19" t="n"/>
    </row>
    <row r="71">
      <c r="A71" s="13" t="inlineStr">
        <is>
          <t>8 Changes</t>
        </is>
      </c>
      <c r="B71" s="14" t="inlineStr">
        <is>
          <t>S8-10</t>
        </is>
      </c>
      <c r="C71" s="15" t="inlineStr">
        <is>
          <t>Freeze</t>
        </is>
      </c>
      <c r="D71" s="48" t="inlineStr">
        <is>
          <t>New</t>
        </is>
      </c>
      <c r="E71" s="17" t="inlineStr">
        <is>
          <t>Polish</t>
        </is>
      </c>
      <c r="F71" s="13" t="inlineStr">
        <is>
          <t>Open the change calendar in month, week and day views with an active freeze window that spans part of a day.</t>
        </is>
      </c>
      <c r="G71" s="13" t="inlineStr">
        <is>
          <t>Month: covered cells are hatched and labelled with the window name. Week/day: a hatched band covers the window's hours BEHIND the change pills, tooltipped with the name and what it applies to. The sidebar lists each window with its scope ("All changes" when unscoped). Bands line up with the pills' days and hours.</t>
        </is>
      </c>
      <c r="H71" s="18" t="inlineStr">
        <is>
          <t>Not run</t>
        </is>
      </c>
      <c r="I71" s="18" t="n"/>
      <c r="J71" s="18" t="n"/>
      <c r="K71" s="19" t="n"/>
    </row>
    <row r="72">
      <c r="A72" s="13" t="inlineStr">
        <is>
          <t>9 Problems</t>
        </is>
      </c>
      <c r="B72" s="14" t="inlineStr">
        <is>
          <t>S9-01</t>
        </is>
      </c>
      <c r="C72" s="15" t="inlineStr">
        <is>
          <t>KEDB</t>
        </is>
      </c>
      <c r="D72" s="50" t="inlineStr">
        <is>
          <t>Baseline</t>
        </is>
      </c>
      <c r="E72" s="17" t="inlineStr">
        <is>
          <t>-</t>
        </is>
      </c>
      <c r="F72" s="13" t="inlineStr">
        <is>
          <t>Create a problem; link incidents + a change; add notes; view audit.</t>
        </is>
      </c>
      <c r="G72" s="13" t="inlineStr">
        <is>
          <t>Links persist; KEDB detail shows linked items.</t>
        </is>
      </c>
      <c r="H72" s="18" t="inlineStr">
        <is>
          <t>Not run</t>
        </is>
      </c>
      <c r="I72" s="18" t="n"/>
      <c r="J72" s="18" t="n"/>
      <c r="K72" s="19" t="n"/>
    </row>
    <row r="73">
      <c r="A73" s="13" t="inlineStr">
        <is>
          <t>9 Problems</t>
        </is>
      </c>
      <c r="B73" s="14" t="inlineStr">
        <is>
          <t>S9-02</t>
        </is>
      </c>
      <c r="C73" s="15" t="inlineStr">
        <is>
          <t>Isolation</t>
        </is>
      </c>
      <c r="D73" s="48" t="inlineStr">
        <is>
          <t>New</t>
        </is>
      </c>
      <c r="E73" s="17" t="inlineStr">
        <is>
          <t>10e</t>
        </is>
      </c>
      <c r="F73" s="13" t="inlineStr">
        <is>
          <t>Confirm problem list/detail is company-scoped (see Suite 2).</t>
        </is>
      </c>
      <c r="G73" s="13" t="inlineStr">
        <is>
          <t>No cross-company problems.</t>
        </is>
      </c>
      <c r="H73" s="18" t="inlineStr">
        <is>
          <t>Not run</t>
        </is>
      </c>
      <c r="I73" s="18" t="n"/>
      <c r="J73" s="18" t="n"/>
      <c r="K73" s="19" t="n"/>
    </row>
    <row r="74">
      <c r="A74" s="13" t="inlineStr">
        <is>
          <t>9 Problems</t>
        </is>
      </c>
      <c r="B74" s="14" t="inlineStr">
        <is>
          <t>S9-03</t>
        </is>
      </c>
      <c r="C74" s="15" t="inlineStr">
        <is>
          <t>Isolation</t>
        </is>
      </c>
      <c r="D74" s="48" t="inlineStr">
        <is>
          <t>New</t>
        </is>
      </c>
      <c r="E74" s="17" t="inlineStr">
        <is>
          <t>Polish</t>
        </is>
      </c>
      <c r="F74" s="13" t="inlineStr">
        <is>
          <t>On a multi-company install, use the REST API with an api key scoped to company A to link a change belonging to company B to a problem in company A. Then link a same-company change from the UI picker.</t>
        </is>
      </c>
      <c r="G74" s="13" t="inlineStr">
        <is>
          <t>Refused both ways: a change outside the key's scope reads "Unknown change id: N", and a visible change in another company gives "That change belongs to a different company than this problem." Same-company linking from the UI still works, and the picker only ever offers the active company's changes.</t>
        </is>
      </c>
      <c r="H74" s="18" t="inlineStr">
        <is>
          <t>Not run</t>
        </is>
      </c>
      <c r="I74" s="18" t="n"/>
      <c r="J74" s="18" t="n"/>
      <c r="K74" s="19" t="n"/>
    </row>
    <row r="75">
      <c r="A75" s="13" t="inlineStr">
        <is>
          <t>10 CMDB</t>
        </is>
      </c>
      <c r="B75" s="14" t="inlineStr">
        <is>
          <t>S10-01</t>
        </is>
      </c>
      <c r="C75" s="15" t="inlineStr">
        <is>
          <t>Impact</t>
        </is>
      </c>
      <c r="D75" s="50" t="inlineStr">
        <is>
          <t>Baseline</t>
        </is>
      </c>
      <c r="E75" s="17" t="inlineStr">
        <is>
          <t>-</t>
        </is>
      </c>
      <c r="F75" s="13" t="inlineStr">
        <is>
          <t>Create CIs, classes, relationships, a parent hierarchy; open impact panel on a parent CI.</t>
        </is>
      </c>
      <c r="G75" s="13" t="inlineStr">
        <is>
          <t>Lists descendants + property refs + incoming relationships (source the 9c change impact reuses).</t>
        </is>
      </c>
      <c r="H75" s="18" t="inlineStr">
        <is>
          <t>Not run</t>
        </is>
      </c>
      <c r="I75" s="18" t="n"/>
      <c r="J75" s="18" t="n"/>
      <c r="K75" s="19" t="n"/>
    </row>
    <row r="76">
      <c r="A76" s="13" t="inlineStr">
        <is>
          <t>11 Contracts</t>
        </is>
      </c>
      <c r="B76" s="14" t="inlineStr">
        <is>
          <t>S11-01</t>
        </is>
      </c>
      <c r="C76" s="15" t="inlineStr">
        <is>
          <t>Contracts</t>
        </is>
      </c>
      <c r="D76" s="50" t="inlineStr">
        <is>
          <t>Baseline</t>
        </is>
      </c>
      <c r="E76" s="17" t="inlineStr">
        <is>
          <t>-</t>
        </is>
      </c>
      <c r="F76" s="13" t="inlineStr">
        <is>
          <t>Create a contract (supplier, dates, terms); confirm contract.expiring fires via workflow cron.</t>
        </is>
      </c>
      <c r="G76" s="13" t="inlineStr">
        <is>
          <t>Reminder fires at windows; baseline intact.</t>
        </is>
      </c>
      <c r="H76" s="18" t="inlineStr">
        <is>
          <t>Not run</t>
        </is>
      </c>
      <c r="I76" s="18" t="n"/>
      <c r="J76" s="18" t="n"/>
      <c r="K76" s="19" t="n"/>
    </row>
    <row r="77">
      <c r="A77" s="13" t="inlineStr">
        <is>
          <t>11 Contracts</t>
        </is>
      </c>
      <c r="B77" s="14" t="inlineStr">
        <is>
          <t>S11-02</t>
        </is>
      </c>
      <c r="C77" s="15" t="inlineStr">
        <is>
          <t>Coverage</t>
        </is>
      </c>
      <c r="D77" s="48" t="inlineStr">
        <is>
          <t>New</t>
        </is>
      </c>
      <c r="E77" s="17" t="inlineStr">
        <is>
          <t>9d</t>
        </is>
      </c>
      <c r="F77" s="13" t="inlineStr">
        <is>
          <t>On a contract, open Covered assets; search + add an asset; remove it.</t>
        </is>
      </c>
      <c r="G77" s="13" t="inlineStr">
        <is>
          <t>Lists hostname/model/status; add/remove work; scoped to active company.</t>
        </is>
      </c>
      <c r="H77" s="18" t="inlineStr">
        <is>
          <t>Not run</t>
        </is>
      </c>
      <c r="I77" s="18" t="n"/>
      <c r="J77" s="18" t="n"/>
      <c r="K77" s="19" t="n"/>
    </row>
    <row r="78">
      <c r="A78" s="13" t="inlineStr">
        <is>
          <t>11 Contracts</t>
        </is>
      </c>
      <c r="B78" s="14" t="inlineStr">
        <is>
          <t>S11-03</t>
        </is>
      </c>
      <c r="C78" s="15" t="inlineStr">
        <is>
          <t>Coverage</t>
        </is>
      </c>
      <c r="D78" s="48" t="inlineStr">
        <is>
          <t>New</t>
        </is>
      </c>
      <c r="E78" s="17" t="inlineStr">
        <is>
          <t>9d</t>
        </is>
      </c>
      <c r="F78" s="13" t="inlineStr">
        <is>
          <t>Call get_asset_contracts.php?asset_id=N for a covered asset.</t>
        </is>
      </c>
      <c r="G78" s="13" t="inlineStr">
        <is>
          <t>Returns covering contracts (reverse lookup).</t>
        </is>
      </c>
      <c r="H78" s="18" t="inlineStr">
        <is>
          <t>Not run</t>
        </is>
      </c>
      <c r="I78" s="18" t="n"/>
      <c r="J78" s="18" t="n"/>
      <c r="K78" s="19" t="n"/>
    </row>
    <row r="79">
      <c r="A79" s="13" t="inlineStr">
        <is>
          <t>11 Contracts</t>
        </is>
      </c>
      <c r="B79" s="14" t="inlineStr">
        <is>
          <t>S11-04</t>
        </is>
      </c>
      <c r="C79" s="15" t="inlineStr">
        <is>
          <t>Coverage</t>
        </is>
      </c>
      <c r="D79" s="48" t="inlineStr">
        <is>
          <t>New</t>
        </is>
      </c>
      <c r="E79" s="17" t="inlineStr">
        <is>
          <t>Polish</t>
        </is>
      </c>
      <c r="F79" s="13" t="inlineStr">
        <is>
          <t>Edit a contract and fill Service hours, Response SLA, Resolution SLA and Coverage notes in the new Service coverage section. Save, reopen the edit form, then open the view page. Finally GET /api/v1/contracts/&lt;id&gt;.</t>
        </is>
      </c>
      <c r="G79" s="13" t="inlineStr">
        <is>
          <t>All four values persist through save and reload, appear in the view page's Service coverage block (notes only when set), and come back from the REST resource under a "coverage" object.</t>
        </is>
      </c>
      <c r="H79" s="18" t="inlineStr">
        <is>
          <t>Not run</t>
        </is>
      </c>
      <c r="I79" s="18" t="n"/>
      <c r="J79" s="18" t="n"/>
      <c r="K79" s="19" t="n"/>
    </row>
    <row r="80">
      <c r="A80" s="13" t="inlineStr">
        <is>
          <t>12 Other modules</t>
        </is>
      </c>
      <c r="B80" s="14" t="inlineStr">
        <is>
          <t>S12-01</t>
        </is>
      </c>
      <c r="C80" s="15" t="inlineStr">
        <is>
          <t>Knowledge</t>
        </is>
      </c>
      <c r="D80" s="50" t="inlineStr">
        <is>
          <t>Baseline</t>
        </is>
      </c>
      <c r="E80" s="17" t="inlineStr">
        <is>
          <t>-</t>
        </is>
      </c>
      <c r="F80" s="13" t="inlineStr">
        <is>
          <t>KB: create/version an article; draft&gt;review&gt;approve; 'was this helpful' rating; portal deflection.</t>
        </is>
      </c>
      <c r="G80" s="13" t="inlineStr">
        <is>
          <t>Workflow states + ratings persist; deflection surfaces suggestions.</t>
        </is>
      </c>
      <c r="H80" s="18" t="inlineStr">
        <is>
          <t>Not run</t>
        </is>
      </c>
      <c r="I80" s="18" t="n"/>
      <c r="J80" s="18" t="n"/>
      <c r="K80" s="19" t="n"/>
    </row>
    <row r="81">
      <c r="A81" s="13" t="inlineStr">
        <is>
          <t>12 Other modules</t>
        </is>
      </c>
      <c r="B81" s="14" t="inlineStr">
        <is>
          <t>S12-02</t>
        </is>
      </c>
      <c r="C81" s="15" t="inlineStr">
        <is>
          <t>Forms</t>
        </is>
      </c>
      <c r="D81" s="50" t="inlineStr">
        <is>
          <t>Baseline</t>
        </is>
      </c>
      <c r="E81" s="17" t="inlineStr">
        <is>
          <t>-</t>
        </is>
      </c>
      <c r="F81" s="13" t="inlineStr">
        <is>
          <t>Design a form, publish a version, submit.</t>
        </is>
      </c>
      <c r="G81" s="13" t="inlineStr">
        <is>
          <t>Versioning + submissions correct; creates a ticket where wired.</t>
        </is>
      </c>
      <c r="H81" s="18" t="inlineStr">
        <is>
          <t>Not run</t>
        </is>
      </c>
      <c r="I81" s="18" t="n"/>
      <c r="J81" s="18" t="n"/>
      <c r="K81" s="19" t="n"/>
    </row>
    <row r="82">
      <c r="A82" s="13" t="inlineStr">
        <is>
          <t>12 Other modules</t>
        </is>
      </c>
      <c r="B82" s="14" t="inlineStr">
        <is>
          <t>S12-03</t>
        </is>
      </c>
      <c r="C82" s="15" t="inlineStr">
        <is>
          <t>Tasks/Cal</t>
        </is>
      </c>
      <c r="D82" s="50" t="inlineStr">
        <is>
          <t>Baseline</t>
        </is>
      </c>
      <c r="E82" s="17" t="inlineStr">
        <is>
          <t>-</t>
        </is>
      </c>
      <c r="F82" s="13" t="inlineStr">
        <is>
          <t>Tasks (kanban/list/calendar), Calendar, Morning checks: create/move/complete.</t>
        </is>
      </c>
      <c r="G82" s="13" t="inlineStr">
        <is>
          <t>Each renders and persists.</t>
        </is>
      </c>
      <c r="H82" s="18" t="inlineStr">
        <is>
          <t>Not run</t>
        </is>
      </c>
      <c r="I82" s="18" t="n"/>
      <c r="J82" s="18" t="n"/>
      <c r="K82" s="19" t="n"/>
    </row>
    <row r="83">
      <c r="A83" s="13" t="inlineStr">
        <is>
          <t>12 Other modules</t>
        </is>
      </c>
      <c r="B83" s="14" t="inlineStr">
        <is>
          <t>S12-04</t>
        </is>
      </c>
      <c r="C83" s="15" t="inlineStr">
        <is>
          <t>Misc</t>
        </is>
      </c>
      <c r="D83" s="50" t="inlineStr">
        <is>
          <t>Baseline</t>
        </is>
      </c>
      <c r="E83" s="17" t="inlineStr">
        <is>
          <t>-</t>
        </is>
      </c>
      <c r="F83" s="13" t="inlineStr">
        <is>
          <t>Wiki, LMS (SCORM), Process mapper, Network mapper, Watchtower, public Status page.</t>
        </is>
      </c>
      <c r="G83" s="13" t="inlineStr">
        <is>
          <t>Each loads and performs its core action.</t>
        </is>
      </c>
      <c r="H83" s="18" t="inlineStr">
        <is>
          <t>Not run</t>
        </is>
      </c>
      <c r="I83" s="18" t="n"/>
      <c r="J83" s="18" t="n"/>
      <c r="K83" s="19" t="n"/>
    </row>
    <row r="84">
      <c r="A84" s="13" t="inlineStr">
        <is>
          <t>13 Workflow</t>
        </is>
      </c>
      <c r="B84" s="14" t="inlineStr">
        <is>
          <t>S13-01</t>
        </is>
      </c>
      <c r="C84" s="15" t="inlineStr">
        <is>
          <t>Engine</t>
        </is>
      </c>
      <c r="D84" s="50" t="inlineStr">
        <is>
          <t>Baseline</t>
        </is>
      </c>
      <c r="E84" s="17" t="inlineStr">
        <is>
          <t>-</t>
        </is>
      </c>
      <c r="F84" s="13" t="inlineStr">
        <is>
          <t>Build a workflow (trigger&gt;condition&gt;action, e.g. ticket.status_changed); fire it.</t>
        </is>
      </c>
      <c r="G84" s="13" t="inlineStr">
        <is>
          <t>Executes; actions applied.</t>
        </is>
      </c>
      <c r="H84" s="18" t="inlineStr">
        <is>
          <t>Not run</t>
        </is>
      </c>
      <c r="I84" s="18" t="n"/>
      <c r="J84" s="18" t="n"/>
      <c r="K84" s="19" t="n"/>
    </row>
    <row r="85">
      <c r="A85" s="13" t="inlineStr">
        <is>
          <t>13 Workflow</t>
        </is>
      </c>
      <c r="B85" s="14" t="inlineStr">
        <is>
          <t>S13-02</t>
        </is>
      </c>
      <c r="C85" s="15" t="inlineStr">
        <is>
          <t>Webhooks</t>
        </is>
      </c>
      <c r="D85" s="50" t="inlineStr">
        <is>
          <t>Baseline</t>
        </is>
      </c>
      <c r="E85" s="17" t="inlineStr">
        <is>
          <t>-</t>
        </is>
      </c>
      <c r="F85" s="13" t="inlineStr">
        <is>
          <t>Configure an outbound webhook action; trigger; check delivery log + Replay.</t>
        </is>
      </c>
      <c r="G85" s="13" t="inlineStr">
        <is>
          <t>Delivery recorded w/ request/response; replay re-sends.</t>
        </is>
      </c>
      <c r="H85" s="18" t="inlineStr">
        <is>
          <t>Not run</t>
        </is>
      </c>
      <c r="I85" s="18" t="n"/>
      <c r="J85" s="18" t="n"/>
      <c r="K85" s="19" t="n"/>
    </row>
    <row r="86">
      <c r="A86" s="13" t="inlineStr">
        <is>
          <t>13 Workflow</t>
        </is>
      </c>
      <c r="B86" s="14" t="inlineStr">
        <is>
          <t>S13-03</t>
        </is>
      </c>
      <c r="C86" s="15" t="inlineStr">
        <is>
          <t>Time-based</t>
        </is>
      </c>
      <c r="D86" s="49" t="inlineStr">
        <is>
          <t>Mixed</t>
        </is>
      </c>
      <c r="E86" s="17" t="inlineStr">
        <is>
          <t>9a/9e</t>
        </is>
      </c>
      <c r="F86" s="13" t="inlineStr">
        <is>
          <t>Via workflow_scheduled.php: contract.expiring, asset.warranty_expiring, licence.expiring (new), asset.eol_approaching (new).</t>
        </is>
      </c>
      <c r="G86" s="13" t="inlineStr">
        <is>
          <t>Each fires once per (entity, window); fingerprints re-arm on date change.</t>
        </is>
      </c>
      <c r="H86" s="18" t="inlineStr">
        <is>
          <t>Not run</t>
        </is>
      </c>
      <c r="I86" s="18" t="n"/>
      <c r="J86" s="18" t="n"/>
      <c r="K86" s="19" t="n"/>
    </row>
    <row r="87">
      <c r="A87" s="13" t="inlineStr">
        <is>
          <t>13 Workflow</t>
        </is>
      </c>
      <c r="B87" s="14" t="inlineStr">
        <is>
          <t>S13-04</t>
        </is>
      </c>
      <c r="C87" s="15" t="inlineStr">
        <is>
          <t>Time-based</t>
        </is>
      </c>
      <c r="D87" s="50" t="inlineStr">
        <is>
          <t>Baseline</t>
        </is>
      </c>
      <c r="E87" s="17" t="inlineStr">
        <is>
          <t>-</t>
        </is>
      </c>
      <c r="F87" s="13" t="inlineStr">
        <is>
          <t>Confirm sla.warning/sla.breached still emit from the breach cron.</t>
        </is>
      </c>
      <c r="G87" s="13" t="inlineStr">
        <is>
          <t>Emitted; no double-fire.</t>
        </is>
      </c>
      <c r="H87" s="18" t="inlineStr">
        <is>
          <t>Not run</t>
        </is>
      </c>
      <c r="I87" s="18" t="n"/>
      <c r="J87" s="18" t="n"/>
      <c r="K87" s="19" t="n"/>
    </row>
    <row r="88">
      <c r="A88" s="13" t="inlineStr">
        <is>
          <t>14 Overtime</t>
        </is>
      </c>
      <c r="B88" s="14" t="inlineStr">
        <is>
          <t>S14-01</t>
        </is>
      </c>
      <c r="C88" s="15" t="inlineStr">
        <is>
          <t>Register</t>
        </is>
      </c>
      <c r="D88" s="48" t="inlineStr">
        <is>
          <t>New</t>
        </is>
      </c>
      <c r="E88" s="17" t="inlineStr">
        <is>
          <t>11</t>
        </is>
      </c>
      <c r="F88" s="13" t="inlineStr">
        <is>
          <t>Overtime appears in the waffle (fuchsia, clock); other modules' nav still works.</t>
        </is>
      </c>
      <c r="G88" s="13" t="inlineStr">
        <is>
          <t>Module registered cleanly; no broken nav anywhere.</t>
        </is>
      </c>
      <c r="H88" s="18" t="inlineStr">
        <is>
          <t>Not run</t>
        </is>
      </c>
      <c r="I88" s="18" t="n"/>
      <c r="J88" s="18" t="n"/>
      <c r="K88" s="19" t="n"/>
    </row>
    <row r="89">
      <c r="A89" s="13" t="inlineStr">
        <is>
          <t>14 Overtime</t>
        </is>
      </c>
      <c r="B89" s="14" t="inlineStr">
        <is>
          <t>S14-02</t>
        </is>
      </c>
      <c r="C89" s="15" t="inlineStr">
        <is>
          <t>Submit</t>
        </is>
      </c>
      <c r="D89" s="48" t="inlineStr">
        <is>
          <t>New</t>
        </is>
      </c>
      <c r="E89" s="17" t="inlineStr">
        <is>
          <t>11a</t>
        </is>
      </c>
      <c r="F89" s="13" t="inlineStr">
        <is>
          <t>My overtime &gt; log an entry (date, start, end, type, reason).</t>
        </is>
      </c>
      <c r="G89" s="13" t="inlineStr">
        <is>
          <t>Hours computed from times; correct multiplier snapshotted; status pending; totals update.</t>
        </is>
      </c>
      <c r="H89" s="18" t="inlineStr">
        <is>
          <t>Not run</t>
        </is>
      </c>
      <c r="I89" s="18" t="n"/>
      <c r="J89" s="18" t="n"/>
      <c r="K89" s="19" t="n"/>
    </row>
    <row r="90">
      <c r="A90" s="13" t="inlineStr">
        <is>
          <t>14 Overtime</t>
        </is>
      </c>
      <c r="B90" s="14" t="inlineStr">
        <is>
          <t>S14-03</t>
        </is>
      </c>
      <c r="C90" s="15" t="inlineStr">
        <is>
          <t>Submit</t>
        </is>
      </c>
      <c r="D90" s="48" t="inlineStr">
        <is>
          <t>New</t>
        </is>
      </c>
      <c r="E90" s="17" t="inlineStr">
        <is>
          <t>11a</t>
        </is>
      </c>
      <c r="F90" s="13" t="inlineStr">
        <is>
          <t>Validation: end&lt;=start; future date; &gt; max daily; overlapping same-day entry.</t>
        </is>
      </c>
      <c r="G90" s="13" t="inlineStr">
        <is>
          <t>Each rejected w/ a clear message; nothing saved.</t>
        </is>
      </c>
      <c r="H90" s="18" t="inlineStr">
        <is>
          <t>Not run</t>
        </is>
      </c>
      <c r="I90" s="18" t="n"/>
      <c r="J90" s="18" t="n"/>
      <c r="K90" s="19" t="n"/>
    </row>
    <row r="91">
      <c r="A91" s="13" t="inlineStr">
        <is>
          <t>14 Overtime</t>
        </is>
      </c>
      <c r="B91" s="14" t="inlineStr">
        <is>
          <t>S14-04</t>
        </is>
      </c>
      <c r="C91" s="15" t="inlineStr">
        <is>
          <t>Submit</t>
        </is>
      </c>
      <c r="D91" s="48" t="inlineStr">
        <is>
          <t>New</t>
        </is>
      </c>
      <c r="E91" s="17" t="inlineStr">
        <is>
          <t>11a</t>
        </is>
      </c>
      <c r="F91" s="13" t="inlineStr">
        <is>
          <t>Cancel a pending entry; attempt to cancel an approved one.</t>
        </is>
      </c>
      <c r="G91" s="13" t="inlineStr">
        <is>
          <t>Pending&gt;cancelled; approved cancel refused.</t>
        </is>
      </c>
      <c r="H91" s="18" t="inlineStr">
        <is>
          <t>Not run</t>
        </is>
      </c>
      <c r="I91" s="18" t="n"/>
      <c r="J91" s="18" t="n"/>
      <c r="K91" s="19" t="n"/>
    </row>
    <row r="92">
      <c r="A92" s="13" t="inlineStr">
        <is>
          <t>14 Overtime</t>
        </is>
      </c>
      <c r="B92" s="14" t="inlineStr">
        <is>
          <t>S14-05</t>
        </is>
      </c>
      <c r="C92" s="15" t="inlineStr">
        <is>
          <t>Approval</t>
        </is>
      </c>
      <c r="D92" s="48" t="inlineStr">
        <is>
          <t>New</t>
        </is>
      </c>
      <c r="E92" s="17" t="inlineStr">
        <is>
          <t>11b</t>
        </is>
      </c>
      <c r="F92" s="13" t="inlineStr">
        <is>
          <t>System &gt; Analysts &gt; edit &gt; set Line manager &gt; save.</t>
        </is>
      </c>
      <c r="G92" s="13" t="inlineStr">
        <is>
          <t>Manager persists (self can't be chosen); manager now sees an Approvals tab.</t>
        </is>
      </c>
      <c r="H92" s="18" t="inlineStr">
        <is>
          <t>Not run</t>
        </is>
      </c>
      <c r="I92" s="18" t="n"/>
      <c r="J92" s="18" t="n"/>
      <c r="K92" s="19" t="n"/>
    </row>
    <row r="93">
      <c r="A93" s="13" t="inlineStr">
        <is>
          <t>14 Overtime</t>
        </is>
      </c>
      <c r="B93" s="14" t="inlineStr">
        <is>
          <t>S14-06</t>
        </is>
      </c>
      <c r="C93" s="15" t="inlineStr">
        <is>
          <t>Approval</t>
        </is>
      </c>
      <c r="D93" s="48" t="inlineStr">
        <is>
          <t>New</t>
        </is>
      </c>
      <c r="E93" s="17" t="inlineStr">
        <is>
          <t>11b</t>
        </is>
      </c>
      <c r="F93" s="13" t="inlineStr">
        <is>
          <t>As the manager (and separately as admin): Overtime &gt; Approvals.</t>
        </is>
      </c>
      <c r="G93" s="13" t="inlineStr">
        <is>
          <t>Manager sees their reports' pending; admin sees all; no-reports user sees empty/no tab.</t>
        </is>
      </c>
      <c r="H93" s="18" t="inlineStr">
        <is>
          <t>Not run</t>
        </is>
      </c>
      <c r="I93" s="18" t="n"/>
      <c r="J93" s="18" t="n"/>
      <c r="K93" s="19" t="n"/>
    </row>
    <row r="94">
      <c r="A94" s="13" t="inlineStr">
        <is>
          <t>14 Overtime</t>
        </is>
      </c>
      <c r="B94" s="14" t="inlineStr">
        <is>
          <t>S14-07</t>
        </is>
      </c>
      <c r="C94" s="15" t="inlineStr">
        <is>
          <t>Approval</t>
        </is>
      </c>
      <c r="D94" s="48" t="inlineStr">
        <is>
          <t>New</t>
        </is>
      </c>
      <c r="E94" s="17" t="inlineStr">
        <is>
          <t>11b</t>
        </is>
      </c>
      <c r="F94" s="13" t="inlineStr">
        <is>
          <t>Approve one w/ note; reject another w/ note.</t>
        </is>
      </c>
      <c r="G94" s="13" t="inlineStr">
        <is>
          <t>Agent's My overtime shows status + note; audit rows written; agent emailed if mailbox configured.</t>
        </is>
      </c>
      <c r="H94" s="18" t="inlineStr">
        <is>
          <t>Not run</t>
        </is>
      </c>
      <c r="I94" s="18" t="n"/>
      <c r="J94" s="18" t="n"/>
      <c r="K94" s="19" t="n"/>
    </row>
    <row r="95">
      <c r="A95" s="13" t="inlineStr">
        <is>
          <t>14 Overtime</t>
        </is>
      </c>
      <c r="B95" s="14" t="inlineStr">
        <is>
          <t>S14-08</t>
        </is>
      </c>
      <c r="C95" s="15" t="inlineStr">
        <is>
          <t>Approval</t>
        </is>
      </c>
      <c r="D95" s="48" t="inlineStr">
        <is>
          <t>New</t>
        </is>
      </c>
      <c r="E95" s="17" t="inlineStr">
        <is>
          <t>11b</t>
        </is>
      </c>
      <c r="F95" s="13" t="inlineStr">
        <is>
          <t>As non-manager/non-admin, POST decide_overtime_request.php for someone else's entry.</t>
        </is>
      </c>
      <c r="G95" s="13" t="inlineStr">
        <is>
          <t>Refused (not authorised).</t>
        </is>
      </c>
      <c r="H95" s="18" t="inlineStr">
        <is>
          <t>Not run</t>
        </is>
      </c>
      <c r="I95" s="18" t="n"/>
      <c r="J95" s="18" t="n"/>
      <c r="K95" s="19" t="n"/>
    </row>
    <row r="96">
      <c r="A96" s="13" t="inlineStr">
        <is>
          <t>14 Overtime</t>
        </is>
      </c>
      <c r="B96" s="14" t="inlineStr">
        <is>
          <t>S14-09</t>
        </is>
      </c>
      <c r="C96" s="15" t="inlineStr">
        <is>
          <t>Report</t>
        </is>
      </c>
      <c r="D96" s="48" t="inlineStr">
        <is>
          <t>New</t>
        </is>
      </c>
      <c r="E96" s="17" t="inlineStr">
        <is>
          <t>11d</t>
        </is>
      </c>
      <c r="F96" s="13" t="inlineStr">
        <is>
          <t>Overtime &gt; Report: pick a period; status = Approved.</t>
        </is>
      </c>
      <c r="G96" s="13" t="inlineStr">
        <is>
          <t>Per-agent entries/hours/weighted (hours x multiplier) + grand total; scoped to own+reports (all for admin) + active company.</t>
        </is>
      </c>
      <c r="H96" s="18" t="inlineStr">
        <is>
          <t>Not run</t>
        </is>
      </c>
      <c r="I96" s="18" t="n"/>
      <c r="J96" s="18" t="n"/>
      <c r="K96" s="19" t="n"/>
    </row>
    <row r="97">
      <c r="A97" s="13" t="inlineStr">
        <is>
          <t>14 Overtime</t>
        </is>
      </c>
      <c r="B97" s="14" t="inlineStr">
        <is>
          <t>S14-10</t>
        </is>
      </c>
      <c r="C97" s="15" t="inlineStr">
        <is>
          <t>Report</t>
        </is>
      </c>
      <c r="D97" s="48" t="inlineStr">
        <is>
          <t>New</t>
        </is>
      </c>
      <c r="E97" s="17" t="inlineStr">
        <is>
          <t>11d</t>
        </is>
      </c>
      <c r="F97" s="13" t="inlineStr">
        <is>
          <t>Export CSV.</t>
        </is>
      </c>
      <c r="G97" s="13" t="inlineStr">
        <is>
          <t>Per-entry payroll rows (agent, date, times, hours, type, multiplier, weighted, status).</t>
        </is>
      </c>
      <c r="H97" s="18" t="inlineStr">
        <is>
          <t>Not run</t>
        </is>
      </c>
      <c r="I97" s="18" t="n"/>
      <c r="J97" s="18" t="n"/>
      <c r="K97" s="19" t="n"/>
    </row>
    <row r="98">
      <c r="A98" s="13" t="inlineStr">
        <is>
          <t>15 System admin</t>
        </is>
      </c>
      <c r="B98" s="14" t="inlineStr">
        <is>
          <t>S15-01</t>
        </is>
      </c>
      <c r="C98" s="15" t="inlineStr">
        <is>
          <t>Admin</t>
        </is>
      </c>
      <c r="D98" s="49" t="inlineStr">
        <is>
          <t>Mixed</t>
        </is>
      </c>
      <c r="E98" s="17" t="inlineStr">
        <is>
          <t>-</t>
        </is>
      </c>
      <c r="F98" s="13" t="inlineStr">
        <is>
          <t>Analysts, Teams, Roles, Modules, Companies, SSO, Encryption, API keys, Branding, Colours, Topology - open each + a core edit.</t>
        </is>
      </c>
      <c r="G98" s="13" t="inlineStr">
        <is>
          <t>Each functions; changes persist. Analyst edit now has a Line manager field.</t>
        </is>
      </c>
      <c r="H98" s="18" t="inlineStr">
        <is>
          <t>Not run</t>
        </is>
      </c>
      <c r="I98" s="18" t="n"/>
      <c r="J98" s="18" t="n"/>
      <c r="K98" s="19" t="n"/>
    </row>
    <row r="99">
      <c r="A99" s="13" t="inlineStr">
        <is>
          <t>15 System admin</t>
        </is>
      </c>
      <c r="B99" s="14" t="inlineStr">
        <is>
          <t>S15-02</t>
        </is>
      </c>
      <c r="C99" s="15" t="inlineStr">
        <is>
          <t>Audit log</t>
        </is>
      </c>
      <c r="D99" s="48" t="inlineStr">
        <is>
          <t>New</t>
        </is>
      </c>
      <c r="E99" s="17" t="inlineStr">
        <is>
          <t>10a</t>
        </is>
      </c>
      <c r="F99" s="13" t="inlineStr">
        <is>
          <t>System &gt; Audit log.</t>
        </is>
      </c>
      <c r="G99" s="13" t="inlineStr">
        <is>
          <t>One stream across Tickets/Changes/Problems/Assets/System w/ when/actor/module/entity/action/detail.</t>
        </is>
      </c>
      <c r="H99" s="18" t="inlineStr">
        <is>
          <t>Not run</t>
        </is>
      </c>
      <c r="I99" s="18" t="n"/>
      <c r="J99" s="18" t="n"/>
      <c r="K99" s="19" t="n"/>
    </row>
    <row r="100">
      <c r="A100" s="13" t="inlineStr">
        <is>
          <t>15 System admin</t>
        </is>
      </c>
      <c r="B100" s="14" t="inlineStr">
        <is>
          <t>S15-03</t>
        </is>
      </c>
      <c r="C100" s="15" t="inlineStr">
        <is>
          <t>Audit log</t>
        </is>
      </c>
      <c r="D100" s="48" t="inlineStr">
        <is>
          <t>New</t>
        </is>
      </c>
      <c r="E100" s="17" t="inlineStr">
        <is>
          <t>10a</t>
        </is>
      </c>
      <c r="F100" s="13" t="inlineStr">
        <is>
          <t>Filter by module, actor, date range, keyword; page Older/Newer; Export CSV.</t>
        </is>
      </c>
      <c r="G100" s="13" t="inlineStr">
        <is>
          <t>Filters narrow; paging works; CSV matches filters.</t>
        </is>
      </c>
      <c r="H100" s="18" t="inlineStr">
        <is>
          <t>Not run</t>
        </is>
      </c>
      <c r="I100" s="18" t="n"/>
      <c r="J100" s="18" t="n"/>
      <c r="K100" s="19" t="n"/>
    </row>
    <row r="101">
      <c r="A101" s="13" t="inlineStr">
        <is>
          <t>15 System admin</t>
        </is>
      </c>
      <c r="B101" s="14" t="inlineStr">
        <is>
          <t>S15-04</t>
        </is>
      </c>
      <c r="C101" s="15" t="inlineStr">
        <is>
          <t>Audit log</t>
        </is>
      </c>
      <c r="D101" s="48" t="inlineStr">
        <is>
          <t>New</t>
        </is>
      </c>
      <c r="E101" s="17" t="inlineStr">
        <is>
          <t>10a</t>
        </is>
      </c>
      <c r="F101" s="13" t="inlineStr">
        <is>
          <t>Non-admin attempts to reach it.</t>
        </is>
      </c>
      <c r="G101" s="13" t="inlineStr">
        <is>
          <t>Redirected / 403.</t>
        </is>
      </c>
      <c r="H101" s="18" t="inlineStr">
        <is>
          <t>Not run</t>
        </is>
      </c>
      <c r="I101" s="18" t="n"/>
      <c r="J101" s="18" t="n"/>
      <c r="K101" s="19" t="n"/>
    </row>
    <row r="102">
      <c r="A102" s="13" t="inlineStr">
        <is>
          <t>15 System admin</t>
        </is>
      </c>
      <c r="B102" s="14" t="inlineStr">
        <is>
          <t>S15-05</t>
        </is>
      </c>
      <c r="C102" s="15" t="inlineStr">
        <is>
          <t>Backup</t>
        </is>
      </c>
      <c r="D102" s="48" t="inlineStr">
        <is>
          <t>New</t>
        </is>
      </c>
      <c r="E102" s="17" t="inlineStr">
        <is>
          <t>10b</t>
        </is>
      </c>
      <c r="F102" s="13" t="inlineStr">
        <is>
          <t>System &gt; Backup &amp; data &gt; Download backup.</t>
        </is>
      </c>
      <c r="G102" s="13" t="inlineStr">
        <is>
          <t>If mysqldump present: timestamped .sql downloads (not stored). If absent: button disabled w/ a clear reason (probe).</t>
        </is>
      </c>
      <c r="H102" s="18" t="inlineStr">
        <is>
          <t>Not run</t>
        </is>
      </c>
      <c r="I102" s="18" t="n"/>
      <c r="J102" s="18" t="n"/>
      <c r="K102" s="19" t="n"/>
    </row>
    <row r="103">
      <c r="A103" s="13" t="inlineStr">
        <is>
          <t>15 System admin</t>
        </is>
      </c>
      <c r="B103" s="14" t="inlineStr">
        <is>
          <t>S15-06</t>
        </is>
      </c>
      <c r="C103" s="15" t="inlineStr">
        <is>
          <t>Export</t>
        </is>
      </c>
      <c r="D103" s="48" t="inlineStr">
        <is>
          <t>New</t>
        </is>
      </c>
      <c r="E103" s="17" t="inlineStr">
        <is>
          <t>10b</t>
        </is>
      </c>
      <c r="F103" s="13" t="inlineStr">
        <is>
          <t>Export Assets (and Users) to CSV.</t>
        </is>
      </c>
      <c r="G103" s="13" t="inlineStr">
        <is>
          <t>Whitelisted columns; header matches import.</t>
        </is>
      </c>
      <c r="H103" s="18" t="inlineStr">
        <is>
          <t>Not run</t>
        </is>
      </c>
      <c r="I103" s="18" t="n"/>
      <c r="J103" s="18" t="n"/>
      <c r="K103" s="19" t="n"/>
    </row>
    <row r="104">
      <c r="A104" s="13" t="inlineStr">
        <is>
          <t>15 System admin</t>
        </is>
      </c>
      <c r="B104" s="14" t="inlineStr">
        <is>
          <t>S15-07</t>
        </is>
      </c>
      <c r="C104" s="15" t="inlineStr">
        <is>
          <t>Import</t>
        </is>
      </c>
      <c r="D104" s="48" t="inlineStr">
        <is>
          <t>New</t>
        </is>
      </c>
      <c r="E104" s="17" t="inlineStr">
        <is>
          <t>10b</t>
        </is>
      </c>
      <c r="F104" s="13" t="inlineStr">
        <is>
          <t>Paste that CSV back &gt; Preview &gt; Commit.</t>
        </is>
      </c>
      <c r="G104" s="13" t="inlineStr">
        <is>
          <t>Preview shows create/update/error counts and writes nothing; Commit applies; re-preview all 'update'.</t>
        </is>
      </c>
      <c r="H104" s="18" t="inlineStr">
        <is>
          <t>Not run</t>
        </is>
      </c>
      <c r="I104" s="18" t="n"/>
      <c r="J104" s="18" t="n"/>
      <c r="K104" s="19" t="n"/>
    </row>
    <row r="105">
      <c r="A105" s="13" t="inlineStr">
        <is>
          <t>15 System admin</t>
        </is>
      </c>
      <c r="B105" s="14" t="inlineStr">
        <is>
          <t>S15-08</t>
        </is>
      </c>
      <c r="C105" s="15" t="inlineStr">
        <is>
          <t>Import</t>
        </is>
      </c>
      <c r="D105" s="48" t="inlineStr">
        <is>
          <t>New</t>
        </is>
      </c>
      <c r="E105" s="17" t="inlineStr">
        <is>
          <t>10b</t>
        </is>
      </c>
      <c r="F105" s="13" t="inlineStr">
        <is>
          <t>Include a malformed row (bad date/email); commit.</t>
        </is>
      </c>
      <c r="G105" s="13" t="inlineStr">
        <is>
          <t>Bad row skipped w/ reason (not fatal); import logged + appears in Audit log (System, data_import).</t>
        </is>
      </c>
      <c r="H105" s="18" t="inlineStr">
        <is>
          <t>Not run</t>
        </is>
      </c>
      <c r="I105" s="18" t="n"/>
      <c r="J105" s="18" t="n"/>
      <c r="K105" s="19" t="n"/>
    </row>
    <row r="106">
      <c r="A106" s="13" t="inlineStr">
        <is>
          <t>16 REST API</t>
        </is>
      </c>
      <c r="B106" s="14" t="inlineStr">
        <is>
          <t>S16-01</t>
        </is>
      </c>
      <c r="C106" s="15" t="inlineStr">
        <is>
          <t>API v1</t>
        </is>
      </c>
      <c r="D106" s="50" t="inlineStr">
        <is>
          <t>Baseline</t>
        </is>
      </c>
      <c r="E106" s="17" t="inlineStr">
        <is>
          <t>-</t>
        </is>
      </c>
      <c r="F106" s="13" t="inlineStr">
        <is>
          <t>Generate an API key; call list + by-id for tickets/changes/problems/assets/software.</t>
        </is>
      </c>
      <c r="G106" s="13" t="inlineStr">
        <is>
          <t>Auth enforced; responses match UI; key permission map respected.</t>
        </is>
      </c>
      <c r="H106" s="18" t="inlineStr">
        <is>
          <t>Not run</t>
        </is>
      </c>
      <c r="I106" s="18" t="n"/>
      <c r="J106" s="18" t="n"/>
      <c r="K106" s="19" t="n"/>
    </row>
    <row r="107">
      <c r="A107" s="13" t="inlineStr">
        <is>
          <t>16 REST API</t>
        </is>
      </c>
      <c r="B107" s="14" t="inlineStr">
        <is>
          <t>S16-02</t>
        </is>
      </c>
      <c r="C107" s="15" t="inlineStr">
        <is>
          <t>API v1</t>
        </is>
      </c>
      <c r="D107" s="48" t="inlineStr">
        <is>
          <t>New</t>
        </is>
      </c>
      <c r="E107" s="17" t="inlineStr">
        <is>
          <t>10e</t>
        </is>
      </c>
      <c r="F107" s="13" t="inlineStr">
        <is>
          <t>Company-scoped key: confirm list + by-id limited to that company (incl. software machines, change linked_problems).</t>
        </is>
      </c>
      <c r="G107" s="13" t="inlineStr">
        <is>
          <t>No cross-company rows (see S2-07).</t>
        </is>
      </c>
      <c r="H107" s="18" t="inlineStr">
        <is>
          <t>Not run</t>
        </is>
      </c>
      <c r="I107" s="18" t="n"/>
      <c r="J107" s="18" t="n"/>
      <c r="K107" s="19" t="n"/>
    </row>
    <row r="108">
      <c r="A108" s="13" t="inlineStr">
        <is>
          <t>17 Cron jobs</t>
        </is>
      </c>
      <c r="B108" s="14" t="inlineStr">
        <is>
          <t>S17-01</t>
        </is>
      </c>
      <c r="C108" s="15" t="inlineStr">
        <is>
          <t>Cron</t>
        </is>
      </c>
      <c r="D108" s="50" t="inlineStr">
        <is>
          <t>Baseline</t>
        </is>
      </c>
      <c r="E108" s="17" t="inlineStr">
        <is>
          <t>-</t>
        </is>
      </c>
      <c r="F108" s="13" t="inlineStr">
        <is>
          <t>sla_breach_check.php: token auth, per-IP lockout, min-interval, run logging.</t>
        </is>
      </c>
      <c r="G108" s="13" t="inlineStr">
        <is>
          <t>Wrong token&gt;403; too-frequent&gt;429; good run logs ok; not rate-limited by sibling jobs.</t>
        </is>
      </c>
      <c r="H108" s="18" t="inlineStr">
        <is>
          <t>Not run</t>
        </is>
      </c>
      <c r="I108" s="18" t="n"/>
      <c r="J108" s="18" t="n"/>
      <c r="K108" s="19" t="n"/>
    </row>
    <row r="109">
      <c r="A109" s="13" t="inlineStr">
        <is>
          <t>17 Cron jobs</t>
        </is>
      </c>
      <c r="B109" s="14" t="inlineStr">
        <is>
          <t>S17-02</t>
        </is>
      </c>
      <c r="C109" s="15" t="inlineStr">
        <is>
          <t>Cron</t>
        </is>
      </c>
      <c r="D109" s="48" t="inlineStr">
        <is>
          <t>New</t>
        </is>
      </c>
      <c r="E109" s="17" t="inlineStr">
        <is>
          <t>8a</t>
        </is>
      </c>
      <c r="F109" s="13" t="inlineStr">
        <is>
          <t>sla_snapshot_rebuild.php: same harness; marker [snapshot-rebuild].</t>
        </is>
      </c>
      <c r="G109" s="13" t="inlineStr">
        <is>
          <t>Backfills open + closed tickets; independent min-interval.</t>
        </is>
      </c>
      <c r="H109" s="18" t="inlineStr">
        <is>
          <t>Not run</t>
        </is>
      </c>
      <c r="I109" s="18" t="n"/>
      <c r="J109" s="18" t="n"/>
      <c r="K109" s="19" t="n"/>
    </row>
    <row r="110">
      <c r="A110" s="13" t="inlineStr">
        <is>
          <t>17 Cron jobs</t>
        </is>
      </c>
      <c r="B110" s="14" t="inlineStr">
        <is>
          <t>S17-03</t>
        </is>
      </c>
      <c r="C110" s="15" t="inlineStr">
        <is>
          <t>Cron</t>
        </is>
      </c>
      <c r="D110" s="48" t="inlineStr">
        <is>
          <t>New</t>
        </is>
      </c>
      <c r="E110" s="17" t="inlineStr">
        <is>
          <t>8b</t>
        </is>
      </c>
      <c r="F110" s="13" t="inlineStr">
        <is>
          <t>scheduled_reports.php: marker [scheduled-reports]; due-row selection.</t>
        </is>
      </c>
      <c r="G110" s="13" t="inlineStr">
        <is>
          <t>Sends due reports; advances schedules; broken report doesn't retry-storm.</t>
        </is>
      </c>
      <c r="H110" s="18" t="inlineStr">
        <is>
          <t>Not run</t>
        </is>
      </c>
      <c r="I110" s="18" t="n"/>
      <c r="J110" s="18" t="n"/>
      <c r="K110" s="19" t="n"/>
    </row>
    <row r="111">
      <c r="A111" s="13" t="inlineStr">
        <is>
          <t>17 Cron jobs</t>
        </is>
      </c>
      <c r="B111" s="14" t="inlineStr">
        <is>
          <t>S17-04</t>
        </is>
      </c>
      <c r="C111" s="15" t="inlineStr">
        <is>
          <t>Cron</t>
        </is>
      </c>
      <c r="D111" s="49" t="inlineStr">
        <is>
          <t>Mixed</t>
        </is>
      </c>
      <c r="E111" s="17" t="inlineStr">
        <is>
          <t>-</t>
        </is>
      </c>
      <c r="F111" s="13" t="inlineStr">
        <is>
          <t>workflow_scheduled.php: contract/warranty/licence/EOL emissions + prune.</t>
        </is>
      </c>
      <c r="G111" s="13" t="inlineStr">
        <is>
          <t>Fire-once ledger holds; old emissions pruned.</t>
        </is>
      </c>
      <c r="H111" s="18" t="inlineStr">
        <is>
          <t>Not run</t>
        </is>
      </c>
      <c r="I111" s="18" t="n"/>
      <c r="J111" s="18" t="n"/>
      <c r="K111" s="19" t="n"/>
    </row>
    <row r="112">
      <c r="A112" s="13" t="inlineStr">
        <is>
          <t>17 Cron jobs</t>
        </is>
      </c>
      <c r="B112" s="14" t="inlineStr">
        <is>
          <t>S17-05</t>
        </is>
      </c>
      <c r="C112" s="15" t="inlineStr">
        <is>
          <t>Cron</t>
        </is>
      </c>
      <c r="D112" s="48" t="inlineStr">
        <is>
          <t>New</t>
        </is>
      </c>
      <c r="E112" s="17" t="inlineStr">
        <is>
          <t>K2</t>
        </is>
      </c>
      <c r="F112" s="13" t="inlineStr">
        <is>
          <t>Schedule cron/kpi_snapshot.php daily using the shared sla_cron_token. Then call it twice inside the min-interval, and once with a wrong token.</t>
        </is>
      </c>
      <c r="G112" s="13" t="inlineStr">
        <is>
          <t>Scheduled run logs outcome "ok" with the [kpi-snapshot] marker; the immediate second call returns 429 / rate_limited; the wrong token returns 403 / auth_failed (10 failures in an hour from one IP then locks out). The SLA breach cron is not rate-limited by [kpi-snapshot] runs.</t>
        </is>
      </c>
      <c r="H112" s="18" t="inlineStr">
        <is>
          <t>Not run</t>
        </is>
      </c>
      <c r="I112" s="18" t="n"/>
      <c r="J112" s="18" t="n"/>
      <c r="K112" s="19" t="n"/>
    </row>
    <row r="113">
      <c r="A113" s="13" t="inlineStr">
        <is>
          <t>18 Regression</t>
        </is>
      </c>
      <c r="B113" s="14" t="inlineStr">
        <is>
          <t>S18-01</t>
        </is>
      </c>
      <c r="C113" s="15" t="inlineStr">
        <is>
          <t>Regression</t>
        </is>
      </c>
      <c r="D113" s="49" t="inlineStr">
        <is>
          <t>Mixed</t>
        </is>
      </c>
      <c r="E113" s="17" t="inlineStr">
        <is>
          <t>-</t>
        </is>
      </c>
      <c r="F113" s="13" t="inlineStr">
        <is>
          <t>Open every module from the waffle once.</t>
        </is>
      </c>
      <c r="G113" s="13" t="inlineStr">
        <is>
          <t>No 500s, no dead nav links, headers render (Overtime included).</t>
        </is>
      </c>
      <c r="H113" s="18" t="inlineStr">
        <is>
          <t>Not run</t>
        </is>
      </c>
      <c r="I113" s="18" t="n"/>
      <c r="J113" s="18" t="n"/>
      <c r="K113" s="19" t="n"/>
    </row>
    <row r="114">
      <c r="A114" s="13" t="inlineStr">
        <is>
          <t>18 Regression</t>
        </is>
      </c>
      <c r="B114" s="14" t="inlineStr">
        <is>
          <t>S18-02</t>
        </is>
      </c>
      <c r="C114" s="15" t="inlineStr">
        <is>
          <t>Regression</t>
        </is>
      </c>
      <c r="D114" s="49" t="inlineStr">
        <is>
          <t>Mixed</t>
        </is>
      </c>
      <c r="E114" s="17" t="inlineStr">
        <is>
          <t>-</t>
        </is>
      </c>
      <c r="F114" s="13" t="inlineStr">
        <is>
          <t>Re-run Database Verify a second time.</t>
        </is>
      </c>
      <c r="G114" s="13" t="inlineStr">
        <is>
          <t>Idempotent - no changes, no errors.</t>
        </is>
      </c>
      <c r="H114" s="18" t="inlineStr">
        <is>
          <t>Not run</t>
        </is>
      </c>
      <c r="I114" s="18" t="n"/>
      <c r="J114" s="18" t="n"/>
      <c r="K114" s="19" t="n"/>
    </row>
    <row r="115">
      <c r="A115" s="13" t="inlineStr">
        <is>
          <t>18 Regression</t>
        </is>
      </c>
      <c r="B115" s="14" t="inlineStr">
        <is>
          <t>S18-03</t>
        </is>
      </c>
      <c r="C115" s="15" t="inlineStr">
        <is>
          <t>Regression</t>
        </is>
      </c>
      <c r="D115" s="48" t="inlineStr">
        <is>
          <t>New</t>
        </is>
      </c>
      <c r="E115" s="17" t="inlineStr">
        <is>
          <t>-</t>
        </is>
      </c>
      <c r="F115" s="13" t="inlineStr">
        <is>
          <t>Toggle light/dark on new pages (exec dashboard, compliance, audit log, overtime, freeze).</t>
        </is>
      </c>
      <c r="G115" s="13" t="inlineStr">
        <is>
          <t>Legible in both themes; charts/tables readable.</t>
        </is>
      </c>
      <c r="H115" s="18" t="inlineStr">
        <is>
          <t>Not run</t>
        </is>
      </c>
      <c r="I115" s="18" t="n"/>
      <c r="J115" s="18" t="n"/>
      <c r="K115" s="19" t="n"/>
    </row>
    <row r="116">
      <c r="A116" s="13" t="inlineStr">
        <is>
          <t>18 Regression</t>
        </is>
      </c>
      <c r="B116" s="14" t="inlineStr">
        <is>
          <t>S18-04</t>
        </is>
      </c>
      <c r="C116" s="15" t="inlineStr">
        <is>
          <t>Regression</t>
        </is>
      </c>
      <c r="D116" s="48" t="inlineStr">
        <is>
          <t>New</t>
        </is>
      </c>
      <c r="E116" s="17" t="inlineStr">
        <is>
          <t>10e</t>
        </is>
      </c>
      <c r="F116" s="13" t="inlineStr">
        <is>
          <t>Single-company install sanity (if applicable): tenancy filters are no-ops.</t>
        </is>
      </c>
      <c r="G116" s="13" t="inlineStr">
        <is>
          <t>All data visible as before; nothing wrongly hidden.</t>
        </is>
      </c>
      <c r="H116" s="18" t="inlineStr">
        <is>
          <t>Not run</t>
        </is>
      </c>
      <c r="I116" s="18" t="n"/>
      <c r="J116" s="18" t="n"/>
      <c r="K116" s="19" t="n"/>
    </row>
    <row r="117">
      <c r="A117" s="13" t="inlineStr">
        <is>
          <t>18 Regression</t>
        </is>
      </c>
      <c r="B117" s="14" t="inlineStr">
        <is>
          <t>S18-05</t>
        </is>
      </c>
      <c r="C117" s="15" t="inlineStr">
        <is>
          <t>Regression</t>
        </is>
      </c>
      <c r="D117" s="48" t="inlineStr">
        <is>
          <t>New</t>
        </is>
      </c>
      <c r="E117" s="17" t="inlineStr">
        <is>
          <t>10a</t>
        </is>
      </c>
      <c r="F117" s="13" t="inlineStr">
        <is>
          <t>Spot-check the audit log after the session's activity.</t>
        </is>
      </c>
      <c r="G117" s="13" t="inlineStr">
        <is>
          <t>Recent changes/imports/decisions across modules visible in one place.</t>
        </is>
      </c>
      <c r="H117" s="18" t="inlineStr">
        <is>
          <t>Not run</t>
        </is>
      </c>
      <c r="I117" s="18" t="n"/>
      <c r="J117" s="18" t="n"/>
      <c r="K117" s="19" t="n"/>
    </row>
    <row r="118">
      <c r="A118" s="13" t="inlineStr">
        <is>
          <t>18 Regression</t>
        </is>
      </c>
      <c r="B118" s="14" t="inlineStr">
        <is>
          <t>S18-06</t>
        </is>
      </c>
      <c r="C118" s="15" t="inlineStr">
        <is>
          <t>Regression</t>
        </is>
      </c>
      <c r="D118" s="49" t="inlineStr">
        <is>
          <t>Mixed</t>
        </is>
      </c>
      <c r="E118" s="17" t="inlineStr">
        <is>
          <t>K1</t>
        </is>
      </c>
      <c r="F118" s="13" t="inlineStr">
        <is>
          <t>With analyst tiers set, work a ticket normally end to end: assign an owner, change status twice, log a time entry, close it. Then check the PHP error log.</t>
        </is>
      </c>
      <c r="G118" s="13" t="inlineStr">
        <is>
          <t>Every action behaves exactly as before the KPI work. Instrumentation is best-effort, so nothing blocks or fails a ticket update; the ticket audit trail is unchanged; any "[kpi] ..." log line is a warning only and the update still committed.</t>
        </is>
      </c>
      <c r="H118" s="18" t="inlineStr">
        <is>
          <t>Not run</t>
        </is>
      </c>
      <c r="I118" s="18" t="n"/>
      <c r="J118" s="18" t="n"/>
      <c r="K118" s="19" t="n"/>
    </row>
    <row r="119">
      <c r="A119" s="13" t="inlineStr">
        <is>
          <t>19 KPIs</t>
        </is>
      </c>
      <c r="B119" s="14" t="inlineStr">
        <is>
          <t>S19-01</t>
        </is>
      </c>
      <c r="C119" s="15" t="inlineStr">
        <is>
          <t>Authz</t>
        </is>
      </c>
      <c r="D119" s="48" t="inlineStr">
        <is>
          <t>New</t>
        </is>
      </c>
      <c r="E119" s="17" t="inlineStr">
        <is>
          <t>K0</t>
        </is>
      </c>
      <c r="F119" s="13" t="inlineStr">
        <is>
          <t>Sign in as an analyst WITHOUT kpi module access: check the waffle menu, then open /kpi/ directly and call api/kpi/get_scorecard.php.</t>
        </is>
      </c>
      <c r="G119" s="13" t="inlineStr">
        <is>
          <t>No KPIs tile in the waffle; the direct URL is refused by requireModuleAccess; the API returns an access error rather than data. An analyst with access sees the tile and the page.</t>
        </is>
      </c>
      <c r="H119" s="18" t="inlineStr">
        <is>
          <t>Not run</t>
        </is>
      </c>
      <c r="I119" s="18" t="n"/>
      <c r="J119" s="18" t="n"/>
      <c r="K119" s="19" t="n"/>
    </row>
    <row r="120">
      <c r="A120" s="13" t="inlineStr">
        <is>
          <t>19 KPIs</t>
        </is>
      </c>
      <c r="B120" s="14" t="inlineStr">
        <is>
          <t>S19-02</t>
        </is>
      </c>
      <c r="C120" s="15" t="inlineStr">
        <is>
          <t>Scorecard</t>
        </is>
      </c>
      <c r="D120" s="48" t="inlineStr">
        <is>
          <t>New</t>
        </is>
      </c>
      <c r="E120" s="17" t="inlineStr">
        <is>
          <t>K0</t>
        </is>
      </c>
      <c r="F120" s="13" t="inlineStr">
        <is>
          <t>As an analyst with kpi access, open KPIs &gt; Scorecards.</t>
        </is>
      </c>
      <c r="G120" s="13" t="inlineStr">
        <is>
          <t>Five cards in order: L1, L2, L3, L3 - business-as-usual, Combined Managed Service Team. Combined is split into Service delivery / Estate health / Capacity &amp; people / Ticket flow &amp; effort. ~69 metrics total, each row showing Metric + description, Target, Value, Status, Trend, Source.</t>
        </is>
      </c>
      <c r="H120" s="18" t="inlineStr">
        <is>
          <t>Not run</t>
        </is>
      </c>
      <c r="I120" s="18" t="n"/>
      <c r="J120" s="18" t="n"/>
      <c r="K120" s="19" t="n"/>
    </row>
    <row r="121">
      <c r="A121" s="13" t="inlineStr">
        <is>
          <t>19 KPIs</t>
        </is>
      </c>
      <c r="B121" s="14" t="inlineStr">
        <is>
          <t>S19-03</t>
        </is>
      </c>
      <c r="C121" s="15" t="inlineStr">
        <is>
          <t>Scorecard</t>
        </is>
      </c>
      <c r="D121" s="48" t="inlineStr">
        <is>
          <t>New</t>
        </is>
      </c>
      <c r="E121" s="17" t="inlineStr">
        <is>
          <t>K0</t>
        </is>
      </c>
      <c r="F121" s="13" t="inlineStr">
        <is>
          <t>Change the Period month picker to the previous month, then back to the current one.</t>
        </is>
      </c>
      <c r="G121" s="13" t="inlineStr">
        <is>
          <t>The whole scorecard reloads per period; values, notes and RAG belong to the selected month; a month with no measurements shows "+ add" buttons and grey "no data" dots.</t>
        </is>
      </c>
      <c r="H121" s="18" t="inlineStr">
        <is>
          <t>Not run</t>
        </is>
      </c>
      <c r="I121" s="18" t="n"/>
      <c r="J121" s="18" t="n"/>
      <c r="K121" s="19" t="n"/>
    </row>
    <row r="122">
      <c r="A122" s="13" t="inlineStr">
        <is>
          <t>19 KPIs</t>
        </is>
      </c>
      <c r="B122" s="14" t="inlineStr">
        <is>
          <t>S19-04</t>
        </is>
      </c>
      <c r="C122" s="15" t="inlineStr">
        <is>
          <t>Scorecard</t>
        </is>
      </c>
      <c r="D122" s="48" t="inlineStr">
        <is>
          <t>New</t>
        </is>
      </c>
      <c r="E122" s="17" t="inlineStr">
        <is>
          <t>K0</t>
        </is>
      </c>
      <c r="F122" s="13" t="inlineStr">
        <is>
          <t>Pick a lower-is-better metric (e.g. MTTR) and a higher-is-better one (e.g. an attainment %). For each, record values that sit inside green, between green and amber, and beyond amber.</t>
        </is>
      </c>
      <c r="G122" s="13" t="inlineStr">
        <is>
          <t>RAG follows the metric direction: green at/inside the green threshold, amber between green and amber, red beyond amber. Dot colours match the legend (green / amber / red / info / no data).</t>
        </is>
      </c>
      <c r="H122" s="18" t="inlineStr">
        <is>
          <t>Not run</t>
        </is>
      </c>
      <c r="I122" s="18" t="n"/>
      <c r="J122" s="18" t="n"/>
      <c r="K122" s="19" t="n"/>
    </row>
    <row r="123">
      <c r="A123" s="13" t="inlineStr">
        <is>
          <t>19 KPIs</t>
        </is>
      </c>
      <c r="B123" s="14" t="inlineStr">
        <is>
          <t>S19-05</t>
        </is>
      </c>
      <c r="C123" s="15" t="inlineStr">
        <is>
          <t>Scorecard</t>
        </is>
      </c>
      <c r="D123" s="48" t="inlineStr">
        <is>
          <t>New</t>
        </is>
      </c>
      <c r="E123" s="17" t="inlineStr">
        <is>
          <t>K0</t>
        </is>
      </c>
      <c r="F123" s="13" t="inlineStr">
        <is>
          <t>Record a value with Status set explicitly to "Watch" (not "Auto (from target)") and add a note.</t>
        </is>
      </c>
      <c r="G123" s="13" t="inlineStr">
        <is>
          <t>The hand-set status wins over the threshold-derived one; "Note: ..." shows under the metric name; reopening the modal shows the value and note again. Info/band metrics and threshold-less metrics keep their hand-set status.</t>
        </is>
      </c>
      <c r="H123" s="18" t="inlineStr">
        <is>
          <t>Not run</t>
        </is>
      </c>
      <c r="I123" s="18" t="n"/>
      <c r="J123" s="18" t="n"/>
      <c r="K123" s="19" t="n"/>
    </row>
    <row r="124">
      <c r="A124" s="13" t="inlineStr">
        <is>
          <t>19 KPIs</t>
        </is>
      </c>
      <c r="B124" s="14" t="inlineStr">
        <is>
          <t>S19-06</t>
        </is>
      </c>
      <c r="C124" s="15" t="inlineStr">
        <is>
          <t>Admin</t>
        </is>
      </c>
      <c r="D124" s="48" t="inlineStr">
        <is>
          <t>New</t>
        </is>
      </c>
      <c r="E124" s="17" t="inlineStr">
        <is>
          <t>K0</t>
        </is>
      </c>
      <c r="F124" s="13" t="inlineStr">
        <is>
          <t>As an admin, click the pencil next to a Target and change the target text. Repeat as a non-admin analyst with kpi access.</t>
        </is>
      </c>
      <c r="G124" s="13" t="inlineStr">
        <is>
          <t>Admin: the new target text saves and re-renders. Non-admin: no pencil is offered (can_edit false) and a direct POST to api/kpi/save_definition.php is refused.</t>
        </is>
      </c>
      <c r="H124" s="18" t="inlineStr">
        <is>
          <t>Not run</t>
        </is>
      </c>
      <c r="I124" s="18" t="n"/>
      <c r="J124" s="18" t="n"/>
      <c r="K124" s="19" t="n"/>
    </row>
    <row r="125">
      <c r="A125" s="13" t="inlineStr">
        <is>
          <t>19 KPIs</t>
        </is>
      </c>
      <c r="B125" s="14" t="inlineStr">
        <is>
          <t>S19-07</t>
        </is>
      </c>
      <c r="C125" s="15" t="inlineStr">
        <is>
          <t>Export</t>
        </is>
      </c>
      <c r="D125" s="48" t="inlineStr">
        <is>
          <t>New</t>
        </is>
      </c>
      <c r="E125" s="17" t="inlineStr">
        <is>
          <t>K0</t>
        </is>
      </c>
      <c r="F125" s="13" t="inlineStr">
        <is>
          <t>Open Import CSV &gt; Export template.</t>
        </is>
      </c>
      <c r="G125" s="13" t="inlineStr">
        <is>
          <t>Downloads kpi-YYYY-MM.csv containing id,name,value for every metric currently rendered, with existing values filled in.</t>
        </is>
      </c>
      <c r="H125" s="18" t="inlineStr">
        <is>
          <t>Not run</t>
        </is>
      </c>
      <c r="I125" s="18" t="n"/>
      <c r="J125" s="18" t="n"/>
      <c r="K125" s="19" t="n"/>
    </row>
    <row r="126">
      <c r="A126" s="13" t="inlineStr">
        <is>
          <t>19 KPIs</t>
        </is>
      </c>
      <c r="B126" s="14" t="inlineStr">
        <is>
          <t>S19-08</t>
        </is>
      </c>
      <c r="C126" s="15" t="inlineStr">
        <is>
          <t>Import</t>
        </is>
      </c>
      <c r="D126" s="48" t="inlineStr">
        <is>
          <t>New</t>
        </is>
      </c>
      <c r="E126" s="17" t="inlineStr">
        <is>
          <t>K0</t>
        </is>
      </c>
      <c r="F126" s="13" t="inlineStr">
        <is>
          <t>Edit the exported CSV: change several values, and add one row with a non-numeric id. Paste it into Import CSV and Import.</t>
        </is>
      </c>
      <c r="G126" s="13" t="inlineStr">
        <is>
          <t>Reports "Imported N row(s), 1 failed"; the valid rows update value + RAG in place for the selected period; the bad row is skipped without aborting the batch; the scorecard refreshes automatically.</t>
        </is>
      </c>
      <c r="H126" s="18" t="inlineStr">
        <is>
          <t>Not run</t>
        </is>
      </c>
      <c r="I126" s="18" t="n"/>
      <c r="J126" s="18" t="n"/>
      <c r="K126" s="19" t="n"/>
    </row>
    <row r="127">
      <c r="A127" s="13" t="inlineStr">
        <is>
          <t>19 KPIs</t>
        </is>
      </c>
      <c r="B127" s="14" t="inlineStr">
        <is>
          <t>S19-09</t>
        </is>
      </c>
      <c r="C127" s="15" t="inlineStr">
        <is>
          <t>Scorecard</t>
        </is>
      </c>
      <c r="D127" s="48" t="inlineStr">
        <is>
          <t>New</t>
        </is>
      </c>
      <c r="E127" s="17" t="inlineStr">
        <is>
          <t>K0</t>
        </is>
      </c>
      <c r="F127" s="13" t="inlineStr">
        <is>
          <t>Record values for the same metric in three consecutive months, then view the latest month.</t>
        </is>
      </c>
      <c r="G127" s="13" t="inlineStr">
        <is>
          <t>The sparkline draws across the 6-month window with a dot on the most recent point, and skips months with no data. A metric with fewer than two points shows "-".</t>
        </is>
      </c>
      <c r="H127" s="18" t="inlineStr">
        <is>
          <t>Not run</t>
        </is>
      </c>
      <c r="I127" s="18" t="n"/>
      <c r="J127" s="18" t="n"/>
      <c r="K127" s="19" t="n"/>
    </row>
    <row r="128">
      <c r="A128" s="13" t="inlineStr">
        <is>
          <t>19 KPIs</t>
        </is>
      </c>
      <c r="B128" s="14" t="inlineStr">
        <is>
          <t>S19-10</t>
        </is>
      </c>
      <c r="C128" s="15" t="inlineStr">
        <is>
          <t>Cadence</t>
        </is>
      </c>
      <c r="D128" s="48" t="inlineStr">
        <is>
          <t>New</t>
        </is>
      </c>
      <c r="E128" s="17" t="inlineStr">
        <is>
          <t>K0</t>
        </is>
      </c>
      <c r="F128" s="13" t="inlineStr">
        <is>
          <t>Open KPIs &gt; Review cadence.</t>
        </is>
      </c>
      <c r="G128" s="13" t="inlineStr">
        <is>
          <t>Read-only page with four rows - Weekly, Monthly, Quarterly, Annually - each naming what happens and who owns it.</t>
        </is>
      </c>
      <c r="H128" s="18" t="inlineStr">
        <is>
          <t>Not run</t>
        </is>
      </c>
      <c r="I128" s="18" t="n"/>
      <c r="J128" s="18" t="n"/>
      <c r="K128" s="19" t="n"/>
    </row>
    <row r="129">
      <c r="A129" s="13" t="inlineStr">
        <is>
          <t>19 KPIs</t>
        </is>
      </c>
      <c r="B129" s="14" t="inlineStr">
        <is>
          <t>S19-11</t>
        </is>
      </c>
      <c r="C129" s="15" t="inlineStr">
        <is>
          <t>Instrument</t>
        </is>
      </c>
      <c r="D129" s="48" t="inlineStr">
        <is>
          <t>New</t>
        </is>
      </c>
      <c r="E129" s="17" t="inlineStr">
        <is>
          <t>K1</t>
        </is>
      </c>
      <c r="F129" s="13" t="inlineStr">
        <is>
          <t>On a fresh ticket owned by an L1 analyst, make the first status change. Note tickets.acknowledged_datetime, then change status again.</t>
        </is>
      </c>
      <c r="G129" s="13" t="inlineStr">
        <is>
          <t>acknowledged_datetime is stamped once at the first status/owner change (the MTTA anchor) and is NOT moved by later changes.</t>
        </is>
      </c>
      <c r="H129" s="18" t="inlineStr">
        <is>
          <t>Not run</t>
        </is>
      </c>
      <c r="I129" s="18" t="n"/>
      <c r="J129" s="18" t="n"/>
      <c r="K129" s="19" t="n"/>
    </row>
    <row r="130">
      <c r="A130" s="13" t="inlineStr">
        <is>
          <t>19 KPIs</t>
        </is>
      </c>
      <c r="B130" s="14" t="inlineStr">
        <is>
          <t>S19-12</t>
        </is>
      </c>
      <c r="C130" s="15" t="inlineStr">
        <is>
          <t>Instrument</t>
        </is>
      </c>
      <c r="D130" s="48" t="inlineStr">
        <is>
          <t>New</t>
        </is>
      </c>
      <c r="E130" s="17" t="inlineStr">
        <is>
          <t>K1</t>
        </is>
      </c>
      <c r="F130" s="13" t="inlineStr">
        <is>
          <t>Reassign a ticket from an L1 analyst to an L2, then from that L2 back to an L1.</t>
        </is>
      </c>
      <c r="G130" s="13" t="inlineStr">
        <is>
          <t>The L1 -&gt; L2 move writes one ticket_escalations row (from_tier L1, to_tier L2, both analyst ids, escalated_at). The L2 -&gt; L1 move writes nothing - only increases in tier rank count as escalations.</t>
        </is>
      </c>
      <c r="H130" s="18" t="inlineStr">
        <is>
          <t>Not run</t>
        </is>
      </c>
      <c r="I130" s="18" t="n"/>
      <c r="J130" s="18" t="n"/>
      <c r="K130" s="19" t="n"/>
    </row>
    <row r="131">
      <c r="A131" s="13" t="inlineStr">
        <is>
          <t>19 KPIs</t>
        </is>
      </c>
      <c r="B131" s="14" t="inlineStr">
        <is>
          <t>S19-13</t>
        </is>
      </c>
      <c r="C131" s="15" t="inlineStr">
        <is>
          <t>Instrument</t>
        </is>
      </c>
      <c r="D131" s="48" t="inlineStr">
        <is>
          <t>New</t>
        </is>
      </c>
      <c r="E131" s="17" t="inlineStr">
        <is>
          <t>K1</t>
        </is>
      </c>
      <c r="F131" s="13" t="inlineStr">
        <is>
          <t>Move a ticket into a status with pauses_sla = 1, leave it a minute, then move it to a non-pausing status. Also move it directly between two pausing statuses.</t>
        </is>
      </c>
      <c r="G131" s="13" t="inlineStr">
        <is>
          <t>Entering a pausing status opens one ticket_hold_events row (entered_at + status_name); leaving sets exited_at. Moving between two pausing statuses does not open a second row or close the first.</t>
        </is>
      </c>
      <c r="H131" s="18" t="inlineStr">
        <is>
          <t>Not run</t>
        </is>
      </c>
      <c r="I131" s="18" t="n"/>
      <c r="J131" s="18" t="n"/>
      <c r="K131" s="19" t="n"/>
    </row>
    <row r="132">
      <c r="A132" s="13" t="inlineStr">
        <is>
          <t>19 KPIs</t>
        </is>
      </c>
      <c r="B132" s="14" t="inlineStr">
        <is>
          <t>S19-14</t>
        </is>
      </c>
      <c r="C132" s="15" t="inlineStr">
        <is>
          <t>Capture</t>
        </is>
      </c>
      <c r="D132" s="48" t="inlineStr">
        <is>
          <t>New</t>
        </is>
      </c>
      <c r="E132" s="17" t="inlineStr">
        <is>
          <t>K1c</t>
        </is>
      </c>
      <c r="F132" s="13" t="inlineStr">
        <is>
          <t>In the ticket reading pane set Stream = NOC, set Playbook eligible = Yes, then reload the ticket.</t>
        </is>
      </c>
      <c r="G132" s="13" t="inlineStr">
        <is>
          <t>Both save with a toast and are still set after reload (they are on the assign_ticket whitelist); the ticket audit trail records each change; clearing back to "--" persists as NULL.</t>
        </is>
      </c>
      <c r="H132" s="18" t="inlineStr">
        <is>
          <t>Not run</t>
        </is>
      </c>
      <c r="I132" s="18" t="n"/>
      <c r="J132" s="18" t="n"/>
      <c r="K132" s="19" t="n"/>
    </row>
    <row r="133">
      <c r="A133" s="13" t="inlineStr">
        <is>
          <t>19 KPIs</t>
        </is>
      </c>
      <c r="B133" s="14" t="inlineStr">
        <is>
          <t>S19-15</t>
        </is>
      </c>
      <c r="C133" s="15" t="inlineStr">
        <is>
          <t>Capture</t>
        </is>
      </c>
      <c r="D133" s="48" t="inlineStr">
        <is>
          <t>New</t>
        </is>
      </c>
      <c r="E133" s="17" t="inlineStr">
        <is>
          <t>K1c</t>
        </is>
      </c>
      <c r="F133" s="13" t="inlineStr">
        <is>
          <t>Use the reading-pane QA review control to record a triage Pass, then a handover Fail.</t>
        </is>
      </c>
      <c r="G133" s="13" t="inlineStr">
        <is>
          <t>Each shows "QA review recorded (type: Pass/Fail)" and the control resets to blank. Two ticket_qa_reviews rows exist with review_type triage / handover, passed 1 / 0, and the reviewing analyst.</t>
        </is>
      </c>
      <c r="H133" s="18" t="inlineStr">
        <is>
          <t>Not run</t>
        </is>
      </c>
      <c r="I133" s="18" t="n"/>
      <c r="J133" s="18" t="n"/>
      <c r="K133" s="19" t="n"/>
    </row>
    <row r="134">
      <c r="A134" s="13" t="inlineStr">
        <is>
          <t>19 KPIs</t>
        </is>
      </c>
      <c r="B134" s="14" t="inlineStr">
        <is>
          <t>S19-16</t>
        </is>
      </c>
      <c r="C134" s="15" t="inlineStr">
        <is>
          <t>Engine</t>
        </is>
      </c>
      <c r="D134" s="48" t="inlineStr">
        <is>
          <t>New</t>
        </is>
      </c>
      <c r="E134" s="17" t="inlineStr">
        <is>
          <t>K2</t>
        </is>
      </c>
      <c r="F134" s="13" t="inlineStr">
        <is>
          <t>Close several tickets in the current month across two tiers of owner, then run cron/kpi_snapshot.php.</t>
        </is>
      </c>
      <c r="G134" s="13" t="inlineStr">
        <is>
          <t>SLA response/resolution attainment, MTTR (resolve), MTTA, Avg ticket age at closure and the throughput metrics fill in per tier, counting only tickets whose OWNER holds that tier; the Combined card counts all tiers. Values carry the note "Computed by KPI engine".</t>
        </is>
      </c>
      <c r="H134" s="18" t="inlineStr">
        <is>
          <t>Not run</t>
        </is>
      </c>
      <c r="I134" s="18" t="n"/>
      <c r="J134" s="18" t="n"/>
      <c r="K134" s="19" t="n"/>
    </row>
    <row r="135">
      <c r="A135" s="13" t="inlineStr">
        <is>
          <t>19 KPIs</t>
        </is>
      </c>
      <c r="B135" s="14" t="inlineStr">
        <is>
          <t>S19-17</t>
        </is>
      </c>
      <c r="C135" s="15" t="inlineStr">
        <is>
          <t>Engine</t>
        </is>
      </c>
      <c r="D135" s="48" t="inlineStr">
        <is>
          <t>New</t>
        </is>
      </c>
      <c r="E135" s="17" t="inlineStr">
        <is>
          <t>K2</t>
        </is>
      </c>
      <c r="F135" s="13" t="inlineStr">
        <is>
          <t>Reopen a closed ticket, reassign another one twice, then re-run the snapshot.</t>
        </is>
      </c>
      <c r="G135" s="13" t="inlineStr">
        <is>
          <t>Reopen rate reflects closed -&gt; open Status transitions over tickets closed in the month; Ticket bounce (avg reassignments) reflects Owner audit entries per ticket created in the month. Both are non-zero and consistent with the ticket audit trail.</t>
        </is>
      </c>
      <c r="H135" s="18" t="inlineStr">
        <is>
          <t>Not run</t>
        </is>
      </c>
      <c r="I135" s="18" t="n"/>
      <c r="J135" s="18" t="n"/>
      <c r="K135" s="19" t="n"/>
    </row>
    <row r="136">
      <c r="A136" s="13" t="inlineStr">
        <is>
          <t>19 KPIs</t>
        </is>
      </c>
      <c r="B136" s="14" t="inlineStr">
        <is>
          <t>S19-18</t>
        </is>
      </c>
      <c r="C136" s="15" t="inlineStr">
        <is>
          <t>Engine</t>
        </is>
      </c>
      <c r="D136" s="48" t="inlineStr">
        <is>
          <t>New</t>
        </is>
      </c>
      <c r="E136" s="17" t="inlineStr">
        <is>
          <t>K2</t>
        </is>
      </c>
      <c r="F136" s="13" t="inlineStr">
        <is>
          <t>Re-run the snapshot after the escalation, hold and QA cases above.</t>
        </is>
      </c>
      <c r="G136" s="13" t="inlineStr">
        <is>
          <t>Escalation rate and Avg time to escalate populate for the escalating (from) tier; Avg on-hold time uses only hold intervals that have closed; QA pass rate, Triage accuracy and Escalation handover quality read ticket_qa_reviews filtered by review_type.</t>
        </is>
      </c>
      <c r="H136" s="18" t="inlineStr">
        <is>
          <t>Not run</t>
        </is>
      </c>
      <c r="I136" s="18" t="n"/>
      <c r="J136" s="18" t="n"/>
      <c r="K136" s="19" t="n"/>
    </row>
    <row r="137">
      <c r="A137" s="13" t="inlineStr">
        <is>
          <t>19 KPIs</t>
        </is>
      </c>
      <c r="B137" s="14" t="inlineStr">
        <is>
          <t>S19-19</t>
        </is>
      </c>
      <c r="C137" s="15" t="inlineStr">
        <is>
          <t>Engine</t>
        </is>
      </c>
      <c r="D137" s="48" t="inlineStr">
        <is>
          <t>New</t>
        </is>
      </c>
      <c r="E137" s="17" t="inlineStr">
        <is>
          <t>K3</t>
        </is>
      </c>
      <c r="F137" s="13" t="inlineStr">
        <is>
          <t>With loaded_rate and contracted_weekly_hours set and time entries logged (some out of hours), run the snapshot and read the Combined scorecard.</t>
        </is>
      </c>
      <c r="G137" s="13" t="inlineStr">
        <is>
          <t>Cost per ticket, Utilisation %, Tickets per FTE, Out-of-hours work rate and CSAT populate. Utilisation divides logged hours by contracted hours x weeks in the month; out-of-hours counts entries before 08:00, from 18:00, and at weekends; CSAT is the % of responses rated 4+.</t>
        </is>
      </c>
      <c r="H137" s="18" t="inlineStr">
        <is>
          <t>Not run</t>
        </is>
      </c>
      <c r="I137" s="18" t="n"/>
      <c r="J137" s="18" t="n"/>
      <c r="K137" s="19" t="n"/>
    </row>
    <row r="138">
      <c r="A138" s="13" t="inlineStr">
        <is>
          <t>19 KPIs</t>
        </is>
      </c>
      <c r="B138" s="14" t="inlineStr">
        <is>
          <t>S19-20</t>
        </is>
      </c>
      <c r="C138" s="15" t="inlineStr">
        <is>
          <t>Engine</t>
        </is>
      </c>
      <c r="D138" s="48" t="inlineStr">
        <is>
          <t>New</t>
        </is>
      </c>
      <c r="E138" s="17" t="inlineStr">
        <is>
          <t>K2</t>
        </is>
      </c>
      <c r="F138" s="13" t="inlineStr">
        <is>
          <t>Hand-enter a value for a metric the engine cannot compute (an external SIEM / estate feed metric), then run cron/kpi_snapshot.php twice.</t>
        </is>
      </c>
      <c r="G138" s="13" t="inlineStr">
        <is>
          <t>The Skipped (manual/feed) count covers the non-computable metrics and the hand-entered value survives both runs untouched. Computed metrics upsert in place - one kpi_measurements row per kpi + period, with updated_at moving on each run.</t>
        </is>
      </c>
      <c r="H138" s="18" t="inlineStr">
        <is>
          <t>Not run</t>
        </is>
      </c>
      <c r="I138" s="18" t="n"/>
      <c r="J138" s="18" t="n"/>
      <c r="K138" s="19" t="n"/>
    </row>
    <row r="139">
      <c r="A139" s="13" t="inlineStr">
        <is>
          <t>19 KPIs</t>
        </is>
      </c>
      <c r="B139" s="14" t="inlineStr">
        <is>
          <t>S19-21</t>
        </is>
      </c>
      <c r="C139" s="15" t="inlineStr">
        <is>
          <t>Engine</t>
        </is>
      </c>
      <c r="D139" s="48" t="inlineStr">
        <is>
          <t>New</t>
        </is>
      </c>
      <c r="E139" s="17" t="inlineStr">
        <is>
          <t>K2</t>
        </is>
      </c>
      <c r="F139" s="13" t="inlineStr">
        <is>
          <t>Run cron/kpi_snapshot.php?period=&lt;an earlier, closed month&gt;, then with a malformed period such as 2026-13.</t>
        </is>
      </c>
      <c r="G139" s="13" t="inlineStr">
        <is>
          <t>The named month is recomputed and the current month is left alone. A malformed period falls back to the current month rather than erroring.</t>
        </is>
      </c>
      <c r="H139" s="18" t="inlineStr">
        <is>
          <t>Not run</t>
        </is>
      </c>
      <c r="I139" s="18" t="n"/>
      <c r="J139" s="18" t="n"/>
      <c r="K139" s="19" t="n"/>
    </row>
    <row r="140">
      <c r="A140" s="13" t="inlineStr">
        <is>
          <t>20 Customers</t>
        </is>
      </c>
      <c r="B140" s="14" t="inlineStr">
        <is>
          <t>S20-01</t>
        </is>
      </c>
      <c r="C140" s="15" t="inlineStr">
        <is>
          <t>Authz</t>
        </is>
      </c>
      <c r="D140" s="48" t="inlineStr">
        <is>
          <t>New</t>
        </is>
      </c>
      <c r="E140" s="17" t="inlineStr">
        <is>
          <t>Cust</t>
        </is>
      </c>
      <c r="F140" s="13" t="inlineStr">
        <is>
          <t>Check the waffle menu as analysts with and without customers module access; then open /customers/ directly and call api/customers/get_customers.php.</t>
        </is>
      </c>
      <c r="G140" s="13" t="inlineStr">
        <is>
          <t>The Customers tile appears only with module access; the direct URL is refused; every api/customers/* endpoint returns an access error instead of data.</t>
        </is>
      </c>
      <c r="H140" s="18" t="inlineStr">
        <is>
          <t>Not run</t>
        </is>
      </c>
      <c r="I140" s="18" t="n"/>
      <c r="J140" s="18" t="n"/>
      <c r="K140" s="19" t="n"/>
    </row>
    <row r="141">
      <c r="A141" s="13" t="inlineStr">
        <is>
          <t>20 Customers</t>
        </is>
      </c>
      <c r="B141" s="14" t="inlineStr">
        <is>
          <t>S20-02</t>
        </is>
      </c>
      <c r="C141" s="15" t="inlineStr">
        <is>
          <t>Register</t>
        </is>
      </c>
      <c r="D141" s="48" t="inlineStr">
        <is>
          <t>New</t>
        </is>
      </c>
      <c r="E141" s="17" t="inlineStr">
        <is>
          <t>Cust</t>
        </is>
      </c>
      <c r="F141" s="13" t="inlineStr">
        <is>
          <t>Create a customer with a name only and Save. Reopen it and add account reference, contact name / email / phone and notes, then Save again.</t>
        </is>
      </c>
      <c r="G141" s="13" t="inlineStr">
        <is>
          <t>Blank name is rejected inline with "Name is required."; the record saves, appears in the master list with its contact line, and every field persists after reopening.</t>
        </is>
      </c>
      <c r="H141" s="18" t="inlineStr">
        <is>
          <t>Not run</t>
        </is>
      </c>
      <c r="I141" s="18" t="n"/>
      <c r="J141" s="18" t="n"/>
      <c r="K141" s="19" t="n"/>
    </row>
    <row r="142">
      <c r="A142" s="13" t="inlineStr">
        <is>
          <t>20 Customers</t>
        </is>
      </c>
      <c r="B142" s="14" t="inlineStr">
        <is>
          <t>S20-03</t>
        </is>
      </c>
      <c r="C142" s="15" t="inlineStr">
        <is>
          <t>Register</t>
        </is>
      </c>
      <c r="D142" s="48" t="inlineStr">
        <is>
          <t>New</t>
        </is>
      </c>
      <c r="E142" s="17" t="inlineStr">
        <is>
          <t>Cust</t>
        </is>
      </c>
      <c r="F142" s="13" t="inlineStr">
        <is>
          <t>Try to save a customer with contact email "not-an-email".</t>
        </is>
      </c>
      <c r="G142" s="13" t="inlineStr">
        <is>
          <t>Rejected with "Contact email is not valid" and nothing is written. A name longer than 150 characters is truncated rather than refused.</t>
        </is>
      </c>
      <c r="H142" s="18" t="inlineStr">
        <is>
          <t>Not run</t>
        </is>
      </c>
      <c r="I142" s="18" t="n"/>
      <c r="J142" s="18" t="n"/>
      <c r="K142" s="19" t="n"/>
    </row>
    <row r="143">
      <c r="A143" s="13" t="inlineStr">
        <is>
          <t>20 Customers</t>
        </is>
      </c>
      <c r="B143" s="14" t="inlineStr">
        <is>
          <t>S20-04</t>
        </is>
      </c>
      <c r="C143" s="15" t="inlineStr">
        <is>
          <t>Register</t>
        </is>
      </c>
      <c r="D143" s="48" t="inlineStr">
        <is>
          <t>New</t>
        </is>
      </c>
      <c r="E143" s="17" t="inlineStr">
        <is>
          <t>Cust</t>
        </is>
      </c>
      <c r="F143" s="13" t="inlineStr">
        <is>
          <t>Search the list by partial name, contact name, contact email and account reference in turn; then search for nonsense.</t>
        </is>
      </c>
      <c r="G143" s="13" t="inlineStr">
        <is>
          <t>Each of the four fields matches (search is debounced, 250ms); nonsense shows "No customers match "..."". The list is capped at 500 rows, ordered by name.</t>
        </is>
      </c>
      <c r="H143" s="18" t="inlineStr">
        <is>
          <t>Not run</t>
        </is>
      </c>
      <c r="I143" s="18" t="n"/>
      <c r="J143" s="18" t="n"/>
      <c r="K143" s="19" t="n"/>
    </row>
    <row r="144">
      <c r="A144" s="13" t="inlineStr">
        <is>
          <t>20 Customers</t>
        </is>
      </c>
      <c r="B144" s="14" t="inlineStr">
        <is>
          <t>S20-05</t>
        </is>
      </c>
      <c r="C144" s="15" t="inlineStr">
        <is>
          <t>Register</t>
        </is>
      </c>
      <c r="D144" s="48" t="inlineStr">
        <is>
          <t>New</t>
        </is>
      </c>
      <c r="E144" s="17" t="inlineStr">
        <is>
          <t>Cust</t>
        </is>
      </c>
      <c r="F144" s="13" t="inlineStr">
        <is>
          <t>Set the Company dropdown to a company and Save; then set it back to "- None -".</t>
        </is>
      </c>
      <c r="G144" s="13" t="inlineStr">
        <is>
          <t>The company name appears in the list meta line beside the contact; "None" clears it and stores NULL.</t>
        </is>
      </c>
      <c r="H144" s="18" t="inlineStr">
        <is>
          <t>Not run</t>
        </is>
      </c>
      <c r="I144" s="18" t="n"/>
      <c r="J144" s="18" t="n"/>
      <c r="K144" s="19" t="n"/>
    </row>
    <row r="145">
      <c r="A145" s="13" t="inlineStr">
        <is>
          <t>20 Customers</t>
        </is>
      </c>
      <c r="B145" s="14" t="inlineStr">
        <is>
          <t>S20-06</t>
        </is>
      </c>
      <c r="C145" s="15" t="inlineStr">
        <is>
          <t>Isolation</t>
        </is>
      </c>
      <c r="D145" s="48" t="inlineStr">
        <is>
          <t>New</t>
        </is>
      </c>
      <c r="E145" s="17" t="inlineStr">
        <is>
          <t>Cust</t>
        </is>
      </c>
      <c r="F145" s="13" t="inlineStr">
        <is>
          <t>As an analyst restricted to Company A, open Customers and look for customers whose Company is B.</t>
        </is>
      </c>
      <c r="G145" s="13" t="inlineStr">
        <is>
          <t>BY DESIGN customers are shared across companies (like CMDB objects and contracts) - the Company field is a label, not an isolation boundary. Mark N/A unless you want per-company scoping added; do not log it as a tenancy leak.</t>
        </is>
      </c>
      <c r="H145" s="18" t="inlineStr">
        <is>
          <t>Not run</t>
        </is>
      </c>
      <c r="I145" s="18" t="n"/>
      <c r="J145" s="18" t="n"/>
      <c r="K145" s="19" t="n"/>
    </row>
    <row r="146">
      <c r="A146" s="13" t="inlineStr">
        <is>
          <t>20 Customers</t>
        </is>
      </c>
      <c r="B146" s="14" t="inlineStr">
        <is>
          <t>S20-07</t>
        </is>
      </c>
      <c r="C146" s="15" t="inlineStr">
        <is>
          <t>Register</t>
        </is>
      </c>
      <c r="D146" s="48" t="inlineStr">
        <is>
          <t>New</t>
        </is>
      </c>
      <c r="E146" s="17" t="inlineStr">
        <is>
          <t>Cust</t>
        </is>
      </c>
      <c r="F146" s="13" t="inlineStr">
        <is>
          <t>Uncheck Active on a customer and Save; then look at the master list and at the ticket reading-pane customer picker.</t>
        </is>
      </c>
      <c r="G146" s="13" t="inlineStr">
        <is>
          <t>The list row shows an "inactive" pill; the reading-pane picker (which requests active=1) no longer offers it, while tickets already linked to it still display its name.</t>
        </is>
      </c>
      <c r="H146" s="18" t="inlineStr">
        <is>
          <t>Not run</t>
        </is>
      </c>
      <c r="I146" s="18" t="n"/>
      <c r="J146" s="18" t="n"/>
      <c r="K146" s="19" t="n"/>
    </row>
    <row r="147">
      <c r="A147" s="13" t="inlineStr">
        <is>
          <t>20 Customers</t>
        </is>
      </c>
      <c r="B147" s="14" t="inlineStr">
        <is>
          <t>S20-08</t>
        </is>
      </c>
      <c r="C147" s="15" t="inlineStr">
        <is>
          <t>CMDB</t>
        </is>
      </c>
      <c r="D147" s="48" t="inlineStr">
        <is>
          <t>New</t>
        </is>
      </c>
      <c r="E147" s="17" t="inlineStr">
        <is>
          <t>Cust</t>
        </is>
      </c>
      <c r="F147" s="13" t="inlineStr">
        <is>
          <t>On a saved customer, search the CMDB box and link a CI. Link the same CI a second time. Then Remove it.</t>
        </is>
      </c>
      <c r="G147" s="13" t="inlineStr">
        <is>
          <t>The first link adds the CI (name + class) to the table and increments the CI count in the list; the repeat link is idempotent (already_linked, no duplicate row - uq_customer_cmdb); Remove unlinks it.</t>
        </is>
      </c>
      <c r="H147" s="18" t="inlineStr">
        <is>
          <t>Not run</t>
        </is>
      </c>
      <c r="I147" s="18" t="n"/>
      <c r="J147" s="18" t="n"/>
      <c r="K147" s="19" t="n"/>
    </row>
    <row r="148">
      <c r="A148" s="13" t="inlineStr">
        <is>
          <t>20 Customers</t>
        </is>
      </c>
      <c r="B148" s="14" t="inlineStr">
        <is>
          <t>S20-09</t>
        </is>
      </c>
      <c r="C148" s="15" t="inlineStr">
        <is>
          <t>CMDB</t>
        </is>
      </c>
      <c r="D148" s="48" t="inlineStr">
        <is>
          <t>New</t>
        </is>
      </c>
      <c r="E148" s="17" t="inlineStr">
        <is>
          <t>Cust</t>
        </is>
      </c>
      <c r="F148" s="13" t="inlineStr">
        <is>
          <t>Link one CI to two different customers.</t>
        </is>
      </c>
      <c r="G148" s="13" t="inlineStr">
        <is>
          <t>Allowed - the unique key is (customer_id, cmdb_object_id), so a shared CI can serve several customers, and both show it in their CI table.</t>
        </is>
      </c>
      <c r="H148" s="18" t="inlineStr">
        <is>
          <t>Not run</t>
        </is>
      </c>
      <c r="I148" s="18" t="n"/>
      <c r="J148" s="18" t="n"/>
      <c r="K148" s="19" t="n"/>
    </row>
    <row r="149">
      <c r="A149" s="13" t="inlineStr">
        <is>
          <t>20 Customers</t>
        </is>
      </c>
      <c r="B149" s="14" t="inlineStr">
        <is>
          <t>S20-10</t>
        </is>
      </c>
      <c r="C149" s="15" t="inlineStr">
        <is>
          <t>Capture</t>
        </is>
      </c>
      <c r="D149" s="48" t="inlineStr">
        <is>
          <t>New</t>
        </is>
      </c>
      <c r="E149" s="17" t="inlineStr">
        <is>
          <t>B2</t>
        </is>
      </c>
      <c r="F149" s="13" t="inlineStr">
        <is>
          <t>In the ticket reading pane use "Search customer...", pick a customer, reload the ticket, then choose "- Clear customer -".</t>
        </is>
      </c>
      <c r="G149" s="13" t="inlineStr">
        <is>
          <t>The chosen name fills the box with contact name / email / phone beneath it, and survives a reload (the assign_ticket whitelist regression). Clear empties both the box and the contact line and stores NULL.</t>
        </is>
      </c>
      <c r="H149" s="18" t="inlineStr">
        <is>
          <t>Not run</t>
        </is>
      </c>
      <c r="I149" s="18" t="n"/>
      <c r="J149" s="18" t="n"/>
      <c r="K149" s="19" t="n"/>
    </row>
    <row r="150">
      <c r="A150" s="13" t="inlineStr">
        <is>
          <t>20 Customers</t>
        </is>
      </c>
      <c r="B150" s="14" t="inlineStr">
        <is>
          <t>S20-11</t>
        </is>
      </c>
      <c r="C150" s="15" t="inlineStr">
        <is>
          <t>Register</t>
        </is>
      </c>
      <c r="D150" s="48" t="inlineStr">
        <is>
          <t>New</t>
        </is>
      </c>
      <c r="E150" s="17" t="inlineStr">
        <is>
          <t>Cust</t>
        </is>
      </c>
      <c r="F150" s="13" t="inlineStr">
        <is>
          <t>Delete a customer that is linked to a ticket and to at least one CI.</t>
        </is>
      </c>
      <c r="G150" s="13" t="inlineStr">
        <is>
          <t>The confirm dialog warns that tickets will be detached. The customer disappears; the ticket survives with customer_id NULL (FK SET NULL) and the customer_cmdb_objects rows are removed (CASCADE).</t>
        </is>
      </c>
      <c r="H150" s="18" t="inlineStr">
        <is>
          <t>Not run</t>
        </is>
      </c>
      <c r="I150" s="18" t="n"/>
      <c r="J150" s="18" t="n"/>
      <c r="K150" s="19" t="n"/>
    </row>
    <row r="151">
      <c r="A151" s="13" t="inlineStr">
        <is>
          <t>21 Data export</t>
        </is>
      </c>
      <c r="B151" s="14" t="inlineStr">
        <is>
          <t>S21-01</t>
        </is>
      </c>
      <c r="C151" s="15" t="inlineStr">
        <is>
          <t>Access</t>
        </is>
      </c>
      <c r="D151" s="48" t="inlineStr">
        <is>
          <t>New</t>
        </is>
      </c>
      <c r="E151" s="17" t="inlineStr">
        <is>
          <t>Export</t>
        </is>
      </c>
      <c r="F151" s="13" t="inlineStr">
        <is>
          <t>Open Reporting &gt; Export as an analyst who has the Reporting module but NOT every other module.</t>
        </is>
      </c>
      <c r="G151" s="13" t="inlineStr">
        <is>
          <t>Datasets are grouped by module in the Module select; only modules this analyst can access appear; the admin-only datasets (Analysts, Portal users, System logs) are absent for a non-admin.</t>
        </is>
      </c>
      <c r="H151" s="18" t="inlineStr">
        <is>
          <t>Not run</t>
        </is>
      </c>
      <c r="I151" s="18" t="n"/>
      <c r="J151" s="18" t="n"/>
      <c r="K151" s="19" t="n"/>
    </row>
    <row r="152">
      <c r="A152" s="13" t="inlineStr">
        <is>
          <t>21 Data export</t>
        </is>
      </c>
      <c r="B152" s="14" t="inlineStr">
        <is>
          <t>S21-02</t>
        </is>
      </c>
      <c r="C152" s="15" t="inlineStr">
        <is>
          <t>Export</t>
        </is>
      </c>
      <c r="D152" s="48" t="inlineStr">
        <is>
          <t>New</t>
        </is>
      </c>
      <c r="E152" s="17" t="inlineStr">
        <is>
          <t>Export</t>
        </is>
      </c>
      <c r="F152" s="13" t="inlineStr">
        <is>
          <t>Choose Tickets and export as CSV.</t>
        </is>
      </c>
      <c r="G152" s="13" t="inlineStr">
        <is>
          <t>Downloads tickets-export-YYYY-MM-DD.csv. Opens in Excel with accents intact (UTF-8 BOM). Lookup columns are resolved to readable names (status, priority, owner, customer, stream) alongside the raw ids.</t>
        </is>
      </c>
      <c r="H152" s="18" t="inlineStr">
        <is>
          <t>Not run</t>
        </is>
      </c>
      <c r="I152" s="18" t="n"/>
      <c r="J152" s="18" t="n"/>
      <c r="K152" s="19" t="n"/>
    </row>
    <row r="153">
      <c r="A153" s="13" t="inlineStr">
        <is>
          <t>21 Data export</t>
        </is>
      </c>
      <c r="B153" s="14" t="inlineStr">
        <is>
          <t>S21-03</t>
        </is>
      </c>
      <c r="C153" s="15" t="inlineStr">
        <is>
          <t>Export</t>
        </is>
      </c>
      <c r="D153" s="48" t="inlineStr">
        <is>
          <t>New</t>
        </is>
      </c>
      <c r="E153" s="17" t="inlineStr">
        <is>
          <t>Export</t>
        </is>
      </c>
      <c r="F153" s="13" t="inlineStr">
        <is>
          <t>Export the same dataset as JSON.</t>
        </is>
      </c>
      <c r="G153" s="13" t="inlineStr">
        <is>
          <t>Downloads a .json array of objects with the same fields; the file is valid JSON (no trailing comma) and opens in a browser or jq.</t>
        </is>
      </c>
      <c r="H153" s="18" t="inlineStr">
        <is>
          <t>Not run</t>
        </is>
      </c>
      <c r="I153" s="18" t="n"/>
      <c r="J153" s="18" t="n"/>
      <c r="K153" s="19" t="n"/>
    </row>
    <row r="154">
      <c r="A154" s="13" t="inlineStr">
        <is>
          <t>21 Data export</t>
        </is>
      </c>
      <c r="B154" s="14" t="inlineStr">
        <is>
          <t>S21-04</t>
        </is>
      </c>
      <c r="C154" s="15" t="inlineStr">
        <is>
          <t>Export</t>
        </is>
      </c>
      <c r="D154" s="48" t="inlineStr">
        <is>
          <t>New</t>
        </is>
      </c>
      <c r="E154" s="17" t="inlineStr">
        <is>
          <t>Export</t>
        </is>
      </c>
      <c r="F154" s="13" t="inlineStr">
        <is>
          <t>Set From/To around a week you know has tickets and export Tickets. Then select a dataset with no date field (e.g. Software licences).</t>
        </is>
      </c>
      <c r="G154" s="13" t="inlineStr">
        <is>
          <t>The date filter narrows the file to that window (on the field named in the description). For a dataset with no date field the From/To inputs are disabled and explain why on hover.</t>
        </is>
      </c>
      <c r="H154" s="18" t="inlineStr">
        <is>
          <t>Not run</t>
        </is>
      </c>
      <c r="I154" s="18" t="n"/>
      <c r="J154" s="18" t="n"/>
      <c r="K154" s="19" t="n"/>
    </row>
    <row r="155">
      <c r="A155" s="13" t="inlineStr">
        <is>
          <t>21 Data export</t>
        </is>
      </c>
      <c r="B155" s="14" t="inlineStr">
        <is>
          <t>S21-05</t>
        </is>
      </c>
      <c r="C155" s="15" t="inlineStr">
        <is>
          <t>Isolation</t>
        </is>
      </c>
      <c r="D155" s="48" t="inlineStr">
        <is>
          <t>New</t>
        </is>
      </c>
      <c r="E155" s="17" t="inlineStr">
        <is>
          <t>Export</t>
        </is>
      </c>
      <c r="F155" s="13" t="inlineStr">
        <is>
          <t>On a multi-company install with company A active, export Tickets, Changes and Overtime requests. Switch the active company to B and export again.</t>
        </is>
      </c>
      <c r="G155" s="13" t="inlineStr">
        <is>
          <t>Each export contains only the active company's rows (plus NULL-tenant rows for Default, as everywhere else). No company B data appears in the A export. Single-company install: mark N/A.</t>
        </is>
      </c>
      <c r="H155" s="18" t="inlineStr">
        <is>
          <t>Not run</t>
        </is>
      </c>
      <c r="I155" s="18" t="n"/>
      <c r="J155" s="18" t="n"/>
      <c r="K155" s="19" t="n"/>
    </row>
    <row r="156">
      <c r="A156" s="13" t="inlineStr">
        <is>
          <t>21 Data export</t>
        </is>
      </c>
      <c r="B156" s="14" t="inlineStr">
        <is>
          <t>S21-06</t>
        </is>
      </c>
      <c r="C156" s="15" t="inlineStr">
        <is>
          <t>Authz</t>
        </is>
      </c>
      <c r="D156" s="48" t="inlineStr">
        <is>
          <t>New</t>
        </is>
      </c>
      <c r="E156" s="17" t="inlineStr">
        <is>
          <t>Export</t>
        </is>
      </c>
      <c r="F156" s="13" t="inlineStr">
        <is>
          <t>As a NON-admin, request api/export/export_dataset.php?dataset=analysts directly. Then, as an analyst without the Assets module, request dataset=assets.</t>
        </is>
      </c>
      <c r="G156" s="13" t="inlineStr">
        <is>
          <t>Both refused with a JSON 403 ("restricted to administrators" / "do not have access to this data") and no file is downloaded. An unknown ?dataset= gives 400.</t>
        </is>
      </c>
      <c r="H156" s="18" t="inlineStr">
        <is>
          <t>Not run</t>
        </is>
      </c>
      <c r="I156" s="18" t="n"/>
      <c r="J156" s="18" t="n"/>
      <c r="K156" s="19" t="n"/>
    </row>
    <row r="157">
      <c r="A157" s="13" t="inlineStr">
        <is>
          <t>21 Data export</t>
        </is>
      </c>
      <c r="B157" s="14" t="inlineStr">
        <is>
          <t>S21-07</t>
        </is>
      </c>
      <c r="C157" s="15" t="inlineStr">
        <is>
          <t>Security</t>
        </is>
      </c>
      <c r="D157" s="48" t="inlineStr">
        <is>
          <t>New</t>
        </is>
      </c>
      <c r="E157" s="17" t="inlineStr">
        <is>
          <t>Export</t>
        </is>
      </c>
      <c r="F157" s="13" t="inlineStr">
        <is>
          <t>As an admin, export Analysts and Portal users and inspect the header row.</t>
        </is>
      </c>
      <c r="G157" s="13" t="inlineStr">
        <is>
          <t>No password_hash, totp_secret, tokens, api keys or any other credential column is present — the sensitive-column filter drops them whatever the dataset. Manager name is resolved for analysts.</t>
        </is>
      </c>
      <c r="H157" s="18" t="inlineStr">
        <is>
          <t>Not run</t>
        </is>
      </c>
      <c r="I157" s="18" t="n"/>
      <c r="J157" s="18" t="n"/>
      <c r="K157" s="19" t="n"/>
    </row>
    <row r="158">
      <c r="A158" s="13" t="inlineStr">
        <is>
          <t>21 Data export</t>
        </is>
      </c>
      <c r="B158" s="14" t="inlineStr">
        <is>
          <t>S21-08</t>
        </is>
      </c>
      <c r="C158" s="15" t="inlineStr">
        <is>
          <t>Export</t>
        </is>
      </c>
      <c r="D158" s="48" t="inlineStr">
        <is>
          <t>New</t>
        </is>
      </c>
      <c r="E158" s="17" t="inlineStr">
        <is>
          <t>Export</t>
        </is>
      </c>
      <c r="F158" s="13" t="inlineStr">
        <is>
          <t>Export Ticket audit trail with no date filter on an install with plenty of history.</t>
        </is>
      </c>
      <c r="G158" s="13" t="inlineStr">
        <is>
          <t>The download streams rather than timing out or exhausting memory, and stops at the 200,000-row cap stated on the page.</t>
        </is>
      </c>
      <c r="H158" s="18" t="inlineStr">
        <is>
          <t>Not run</t>
        </is>
      </c>
      <c r="I158" s="18" t="n"/>
      <c r="J158" s="18" t="n"/>
      <c r="K158" s="19" t="n"/>
    </row>
    <row r="159">
      <c r="A159" s="13" t="inlineStr">
        <is>
          <t>21 Data export</t>
        </is>
      </c>
      <c r="B159" s="14" t="inlineStr">
        <is>
          <t>S21-09</t>
        </is>
      </c>
      <c r="C159" s="15" t="inlineStr">
        <is>
          <t>Export</t>
        </is>
      </c>
      <c r="D159" s="48" t="inlineStr">
        <is>
          <t>New</t>
        </is>
      </c>
      <c r="E159" s="17" t="inlineStr">
        <is>
          <t>Export</t>
        </is>
      </c>
      <c r="F159" s="13" t="inlineStr">
        <is>
          <t>Open reporting/export/?dataset=customers.</t>
        </is>
      </c>
      <c r="G159" s="13" t="inlineStr">
        <is>
          <t>The page opens with the Customers group and the Customers dataset preselected (the deep link a module page would use).</t>
        </is>
      </c>
      <c r="H159" s="18" t="inlineStr">
        <is>
          <t>Not run</t>
        </is>
      </c>
      <c r="I159" s="18" t="n"/>
      <c r="J159" s="18" t="n"/>
      <c r="K159" s="19" t="n"/>
    </row>
    <row r="160">
      <c r="A160" s="13" t="inlineStr">
        <is>
          <t>22 Training &amp; certs</t>
        </is>
      </c>
      <c r="B160" s="14" t="inlineStr">
        <is>
          <t>S22-01</t>
        </is>
      </c>
      <c r="C160" s="15" t="inlineStr">
        <is>
          <t>Access</t>
        </is>
      </c>
      <c r="D160" s="48" t="inlineStr">
        <is>
          <t>New</t>
        </is>
      </c>
      <c r="E160" s="17" t="inlineStr">
        <is>
          <t>LMS</t>
        </is>
      </c>
      <c r="F160" s="13" t="inlineStr">
        <is>
          <t>Open LMS &gt; Training as a plain LMS learner (module access only, no lms.manage, no direct reports).</t>
        </is>
      </c>
      <c r="G160" s="13" t="inlineStr">
        <is>
          <t>Their own record opens: certifications, training completed, LMS course activity. No person picker, no certification catalogue card. They can add and edit their OWN certifications and training.</t>
        </is>
      </c>
      <c r="H160" s="18" t="inlineStr">
        <is>
          <t>Not run</t>
        </is>
      </c>
      <c r="I160" s="18" t="n"/>
      <c r="J160" s="18" t="n"/>
      <c r="K160" s="19" t="n"/>
    </row>
    <row r="161">
      <c r="A161" s="13" t="inlineStr">
        <is>
          <t>22 Training &amp; certs</t>
        </is>
      </c>
      <c r="B161" s="14" t="inlineStr">
        <is>
          <t>S22-02</t>
        </is>
      </c>
      <c r="C161" s="15" t="inlineStr">
        <is>
          <t>Certifications</t>
        </is>
      </c>
      <c r="D161" s="48" t="inlineStr">
        <is>
          <t>New</t>
        </is>
      </c>
      <c r="E161" s="17" t="inlineStr">
        <is>
          <t>LMS</t>
        </is>
      </c>
      <c r="F161" s="13" t="inlineStr">
        <is>
          <t>Add a free-text certification: name, issuer, status Achieved, awarded date, expiry date, credential id, evidence link, notes. Save, reload the page.</t>
        </is>
      </c>
      <c r="G161" s="13" t="inlineStr">
        <is>
          <t>Everything persists and lists with an "achieved" pill, the credential id and a working Evidence link (new tab). Notes show under the name.</t>
        </is>
      </c>
      <c r="H161" s="18" t="inlineStr">
        <is>
          <t>Not run</t>
        </is>
      </c>
      <c r="I161" s="18" t="n"/>
      <c r="J161" s="18" t="n"/>
      <c r="K161" s="19" t="n"/>
    </row>
    <row r="162">
      <c r="A162" s="13" t="inlineStr">
        <is>
          <t>22 Training &amp; certs</t>
        </is>
      </c>
      <c r="B162" s="14" t="inlineStr">
        <is>
          <t>S22-03</t>
        </is>
      </c>
      <c r="C162" s="15" t="inlineStr">
        <is>
          <t>Certifications</t>
        </is>
      </c>
      <c r="D162" s="48" t="inlineStr">
        <is>
          <t>New</t>
        </is>
      </c>
      <c r="E162" s="17" t="inlineStr">
        <is>
          <t>LMS</t>
        </is>
      </c>
      <c r="F162" s="13" t="inlineStr">
        <is>
          <t>As an LMS manager, add a catalogue entry with Valid for = 36 months. Then record that certification for someone from the catalogue, with an awarded date and the expiry left blank.</t>
        </is>
      </c>
      <c r="G162" s="13" t="inlineStr">
        <is>
          <t>Choosing the catalogue entry fills name + issuer and suggests awarded + 36 months as the expiry; the saved record carries that derived expiry.</t>
        </is>
      </c>
      <c r="H162" s="18" t="inlineStr">
        <is>
          <t>Not run</t>
        </is>
      </c>
      <c r="I162" s="18" t="n"/>
      <c r="J162" s="18" t="n"/>
      <c r="K162" s="19" t="n"/>
    </row>
    <row r="163">
      <c r="A163" s="13" t="inlineStr">
        <is>
          <t>22 Training &amp; certs</t>
        </is>
      </c>
      <c r="B163" s="14" t="inlineStr">
        <is>
          <t>S22-04</t>
        </is>
      </c>
      <c r="C163" s="15" t="inlineStr">
        <is>
          <t>Certifications</t>
        </is>
      </c>
      <c r="D163" s="48" t="inlineStr">
        <is>
          <t>New</t>
        </is>
      </c>
      <c r="E163" s="17" t="inlineStr">
        <is>
          <t>LMS</t>
        </is>
      </c>
      <c r="F163" s="13" t="inlineStr">
        <is>
          <t>Give one certification an expiry ~30 days out and another an expiry in the past.</t>
        </is>
      </c>
      <c r="G163" s="13" t="inlineStr">
        <is>
          <t>The 30-day one shows amber with "Nd left"; the past one shows red "expired". The list is ordered soonest-expiry first, with no-expiry entries last.</t>
        </is>
      </c>
      <c r="H163" s="18" t="inlineStr">
        <is>
          <t>Not run</t>
        </is>
      </c>
      <c r="I163" s="18" t="n"/>
      <c r="J163" s="18" t="n"/>
      <c r="K163" s="19" t="n"/>
    </row>
    <row r="164">
      <c r="A164" s="13" t="inlineStr">
        <is>
          <t>22 Training &amp; certs</t>
        </is>
      </c>
      <c r="B164" s="14" t="inlineStr">
        <is>
          <t>S22-05</t>
        </is>
      </c>
      <c r="C164" s="15" t="inlineStr">
        <is>
          <t>Certifications</t>
        </is>
      </c>
      <c r="D164" s="48" t="inlineStr">
        <is>
          <t>New</t>
        </is>
      </c>
      <c r="E164" s="17" t="inlineStr">
        <is>
          <t>LMS</t>
        </is>
      </c>
      <c r="F164" s="13" t="inlineStr">
        <is>
          <t>Try to save a certification with the expiry BEFORE the awarded date, then one with no name at all.</t>
        </is>
      </c>
      <c r="G164" s="13" t="inlineStr">
        <is>
          <t>Refused inline: "Expiry date cannot be before the awarded date" and "A certification name is required". Nothing is written in either case.</t>
        </is>
      </c>
      <c r="H164" s="18" t="inlineStr">
        <is>
          <t>Not run</t>
        </is>
      </c>
      <c r="I164" s="18" t="n"/>
      <c r="J164" s="18" t="n"/>
      <c r="K164" s="19" t="n"/>
    </row>
    <row r="165">
      <c r="A165" s="13" t="inlineStr">
        <is>
          <t>22 Training &amp; certs</t>
        </is>
      </c>
      <c r="B165" s="14" t="inlineStr">
        <is>
          <t>S22-06</t>
        </is>
      </c>
      <c r="C165" s="15" t="inlineStr">
        <is>
          <t>Training</t>
        </is>
      </c>
      <c r="D165" s="48" t="inlineStr">
        <is>
          <t>New</t>
        </is>
      </c>
      <c r="E165" s="17" t="inlineStr">
        <is>
          <t>LMS</t>
        </is>
      </c>
      <c r="F165" s="13" t="inlineStr">
        <is>
          <t>Add several training records of different types (course, conference, exam, on-the-job) with hours and costs.</t>
        </is>
      </c>
      <c r="G165" s="13" t="inlineStr">
        <is>
          <t>Each lists with type, provider, completed date and hours; the card header totals the number of items and the hours. Records with no completed date sort last.</t>
        </is>
      </c>
      <c r="H165" s="18" t="inlineStr">
        <is>
          <t>Not run</t>
        </is>
      </c>
      <c r="I165" s="18" t="n"/>
      <c r="J165" s="18" t="n"/>
      <c r="K165" s="19" t="n"/>
    </row>
    <row r="166">
      <c r="A166" s="13" t="inlineStr">
        <is>
          <t>22 Training &amp; certs</t>
        </is>
      </c>
      <c r="B166" s="14" t="inlineStr">
        <is>
          <t>S22-07</t>
        </is>
      </c>
      <c r="C166" s="15" t="inlineStr">
        <is>
          <t>Manager</t>
        </is>
      </c>
      <c r="D166" s="48" t="inlineStr">
        <is>
          <t>New</t>
        </is>
      </c>
      <c r="E166" s="17" t="inlineStr">
        <is>
          <t>LMS</t>
        </is>
      </c>
      <c r="F166" s="13" t="inlineStr">
        <is>
          <t>Set analysts.manager_id so B reports to A. As A, open LMS &gt; Training and switch the Person picker to B. Add a certification on B's behalf.</t>
        </is>
      </c>
      <c r="G166" s="13" t="inlineStr">
        <is>
          <t>B's record opens and the certification saves against B. An analyst who is neither A nor one of A's reports is not offered in the picker (unless A can manage the LMS, who sees everyone).</t>
        </is>
      </c>
      <c r="H166" s="18" t="inlineStr">
        <is>
          <t>Not run</t>
        </is>
      </c>
      <c r="I166" s="18" t="n"/>
      <c r="J166" s="18" t="n"/>
      <c r="K166" s="19" t="n"/>
    </row>
    <row r="167">
      <c r="A167" s="13" t="inlineStr">
        <is>
          <t>22 Training &amp; certs</t>
        </is>
      </c>
      <c r="B167" s="14" t="inlineStr">
        <is>
          <t>S22-08</t>
        </is>
      </c>
      <c r="C167" s="15" t="inlineStr">
        <is>
          <t>Authz</t>
        </is>
      </c>
      <c r="D167" s="48" t="inlineStr">
        <is>
          <t>New</t>
        </is>
      </c>
      <c r="E167" s="17" t="inlineStr">
        <is>
          <t>LMS</t>
        </is>
      </c>
      <c r="F167" s="13" t="inlineStr">
        <is>
          <t>As a plain learner, POST api/lms/save_certification.php with analyst_id set to a colleague, and GET api/lms/development.php?analyst_id=&lt;that colleague&gt;.</t>
        </is>
      </c>
      <c r="G167" s="13" t="inlineStr">
        <is>
          <t>Both refused with 403 ("You cannot change / view this training record"). Editing by id is also refused: permission is derived from the row's owner, not the payload.</t>
        </is>
      </c>
      <c r="H167" s="18" t="inlineStr">
        <is>
          <t>Not run</t>
        </is>
      </c>
      <c r="I167" s="18" t="n"/>
      <c r="J167" s="18" t="n"/>
      <c r="K167" s="19" t="n"/>
    </row>
    <row r="168">
      <c r="A168" s="13" t="inlineStr">
        <is>
          <t>22 Training &amp; certs</t>
        </is>
      </c>
      <c r="B168" s="14" t="inlineStr">
        <is>
          <t>S22-09</t>
        </is>
      </c>
      <c r="C168" s="15" t="inlineStr">
        <is>
          <t>Cron</t>
        </is>
      </c>
      <c r="D168" s="48" t="inlineStr">
        <is>
          <t>New</t>
        </is>
      </c>
      <c r="E168" s="17" t="inlineStr">
        <is>
          <t>LMS</t>
        </is>
      </c>
      <c r="F168" s="13" t="inlineStr">
        <is>
          <t>Set a certification expiry ~7 days out, then run cron/workflow_scheduled.php?token=&lt;sla_cron_token&gt; twice. Check the workflow builder's trigger list.</t>
        </is>
      </c>
      <c r="G168" s="13" t="inlineStr">
        <is>
          <t>certification.expiring fires once per window (90/30/7/1) with the certification, analyst and their manager in the payload; the second run does not re-fire the same window; the trigger is selectable in the workflow builder.</t>
        </is>
      </c>
      <c r="H168" s="18" t="inlineStr">
        <is>
          <t>Not run</t>
        </is>
      </c>
      <c r="I168" s="18" t="n"/>
      <c r="J168" s="18" t="n"/>
      <c r="K168" s="19" t="n"/>
    </row>
    <row r="169">
      <c r="A169" s="13" t="inlineStr">
        <is>
          <t>22 Training &amp; certs</t>
        </is>
      </c>
      <c r="B169" s="14" t="inlineStr">
        <is>
          <t>S22-10</t>
        </is>
      </c>
      <c r="C169" s="15" t="inlineStr">
        <is>
          <t>Export</t>
        </is>
      </c>
      <c r="D169" s="48" t="inlineStr">
        <is>
          <t>New</t>
        </is>
      </c>
      <c r="E169" s="17" t="inlineStr">
        <is>
          <t>LMS</t>
        </is>
      </c>
      <c r="F169" s="13" t="inlineStr">
        <is>
          <t>From Reporting &gt; Export, export "Certifications held" and "Training completed".</t>
        </is>
      </c>
      <c r="G169" s="13" t="inlineStr">
        <is>
          <t>Both download with the analyst name resolved. Note the development journal is deliberately NOT offered as a dataset.</t>
        </is>
      </c>
      <c r="H169" s="18" t="inlineStr">
        <is>
          <t>Not run</t>
        </is>
      </c>
      <c r="I169" s="18" t="n"/>
      <c r="J169" s="18" t="n"/>
      <c r="K169" s="19" t="n"/>
    </row>
    <row r="170">
      <c r="A170" s="13" t="inlineStr">
        <is>
          <t>23 Dev journal</t>
        </is>
      </c>
      <c r="B170" s="14" t="inlineStr">
        <is>
          <t>S23-01</t>
        </is>
      </c>
      <c r="C170" s="15" t="inlineStr">
        <is>
          <t>Access</t>
        </is>
      </c>
      <c r="D170" s="48" t="inlineStr">
        <is>
          <t>New</t>
        </is>
      </c>
      <c r="E170" s="17" t="inlineStr">
        <is>
          <t>LMS</t>
        </is>
      </c>
      <c r="F170" s="13" t="inlineStr">
        <is>
          <t>As an analyst who has a line manager set, open LMS &gt; Journal.</t>
        </is>
      </c>
      <c r="G170" s="13" t="inlineStr">
        <is>
          <t>Their own journal opens, the banner names the line manager it is shared with, and New entry is available.</t>
        </is>
      </c>
      <c r="H170" s="18" t="inlineStr">
        <is>
          <t>Not run</t>
        </is>
      </c>
      <c r="I170" s="18" t="n"/>
      <c r="J170" s="18" t="n"/>
      <c r="K170" s="19" t="n"/>
    </row>
    <row r="171">
      <c r="A171" s="13" t="inlineStr">
        <is>
          <t>23 Dev journal</t>
        </is>
      </c>
      <c r="B171" s="14" t="inlineStr">
        <is>
          <t>S23-02</t>
        </is>
      </c>
      <c r="C171" s="15" t="inlineStr">
        <is>
          <t>Journal</t>
        </is>
      </c>
      <c r="D171" s="48" t="inlineStr">
        <is>
          <t>New</t>
        </is>
      </c>
      <c r="E171" s="17" t="inlineStr">
        <is>
          <t>LMS</t>
        </is>
      </c>
      <c r="F171" s="13" t="inlineStr">
        <is>
          <t>Add entries in several categories (goal, progress, reflection) with body text. Edit one, delete another.</t>
        </is>
      </c>
      <c r="G171" s="13" t="inlineStr">
        <is>
          <t>Entries list newest-first with date, category pill and author; line breaks in the body are preserved; edit and delete work on your own entries.</t>
        </is>
      </c>
      <c r="H171" s="18" t="inlineStr">
        <is>
          <t>Not run</t>
        </is>
      </c>
      <c r="I171" s="18" t="n"/>
      <c r="J171" s="18" t="n"/>
      <c r="K171" s="19" t="n"/>
    </row>
    <row r="172">
      <c r="A172" s="13" t="inlineStr">
        <is>
          <t>23 Dev journal</t>
        </is>
      </c>
      <c r="B172" s="14" t="inlineStr">
        <is>
          <t>S23-03</t>
        </is>
      </c>
      <c r="C172" s="15" t="inlineStr">
        <is>
          <t>Manager</t>
        </is>
      </c>
      <c r="D172" s="48" t="inlineStr">
        <is>
          <t>New</t>
        </is>
      </c>
      <c r="E172" s="17" t="inlineStr">
        <is>
          <t>LMS</t>
        </is>
      </c>
      <c r="F172" s="13" t="inlineStr">
        <is>
          <t>As the line manager, open LMS &gt; Journal, switch to the report's journal and add a one_to_one entry.</t>
        </is>
      </c>
      <c r="G172" s="13" t="inlineStr">
        <is>
          <t>The report's journal opens with a banner explaining why you can see it; your entry is attributed to you and is visible to the report on their own view.</t>
        </is>
      </c>
      <c r="H172" s="18" t="inlineStr">
        <is>
          <t>Not run</t>
        </is>
      </c>
      <c r="I172" s="18" t="n"/>
      <c r="J172" s="18" t="n"/>
      <c r="K172" s="19" t="n"/>
    </row>
    <row r="173">
      <c r="A173" s="13" t="inlineStr">
        <is>
          <t>23 Dev journal</t>
        </is>
      </c>
      <c r="B173" s="14" t="inlineStr">
        <is>
          <t>S23-04</t>
        </is>
      </c>
      <c r="C173" s="15" t="inlineStr">
        <is>
          <t>Authz</t>
        </is>
      </c>
      <c r="D173" s="48" t="inlineStr">
        <is>
          <t>New</t>
        </is>
      </c>
      <c r="E173" s="17" t="inlineStr">
        <is>
          <t>LMS</t>
        </is>
      </c>
      <c r="F173" s="13" t="inlineStr">
        <is>
          <t>As the report, try to change the manager's entry — and as the manager, the report's. Check the UI, then POST save_journal_entry.php / delete_journal_entry.php with the other party's entry id.</t>
        </is>
      </c>
      <c r="G173" s="13" t="inlineStr">
        <is>
          <t>No Edit/Delete buttons appear on the other party's entries, and a direct POST returns 403 "Only the author of an entry can change it."</t>
        </is>
      </c>
      <c r="H173" s="18" t="inlineStr">
        <is>
          <t>Not run</t>
        </is>
      </c>
      <c r="I173" s="18" t="n"/>
      <c r="J173" s="18" t="n"/>
      <c r="K173" s="19" t="n"/>
    </row>
    <row r="174">
      <c r="A174" s="13" t="inlineStr">
        <is>
          <t>23 Dev journal</t>
        </is>
      </c>
      <c r="B174" s="14" t="inlineStr">
        <is>
          <t>S23-05</t>
        </is>
      </c>
      <c r="C174" s="15" t="inlineStr">
        <is>
          <t>Isolation</t>
        </is>
      </c>
      <c r="D174" s="48" t="inlineStr">
        <is>
          <t>New</t>
        </is>
      </c>
      <c r="E174" s="17" t="inlineStr">
        <is>
          <t>LMS</t>
        </is>
      </c>
      <c r="F174" s="13" t="inlineStr">
        <is>
          <t>As an LMS manager (lms.manage) who is NOT the analyst's line manager, GET api/lms/journal.php?analyst_id=&lt;that analyst&gt;. Repeat as a full administrator.</t>
        </is>
      </c>
      <c r="G174" s="13" t="inlineStr">
        <is>
          <t>BOTH refused with 403 and the message that a journal is visible only to the analyst and their line manager. This is by design — managing the LMS and being an admin do not grant journal access.</t>
        </is>
      </c>
      <c r="H174" s="18" t="inlineStr">
        <is>
          <t>Not run</t>
        </is>
      </c>
      <c r="I174" s="18" t="n"/>
      <c r="J174" s="18" t="n"/>
      <c r="K174" s="19" t="n"/>
    </row>
    <row r="175">
      <c r="A175" s="13" t="inlineStr">
        <is>
          <t>23 Dev journal</t>
        </is>
      </c>
      <c r="B175" s="14" t="inlineStr">
        <is>
          <t>S23-06</t>
        </is>
      </c>
      <c r="C175" s="15" t="inlineStr">
        <is>
          <t>Isolation</t>
        </is>
      </c>
      <c r="D175" s="48" t="inlineStr">
        <is>
          <t>New</t>
        </is>
      </c>
      <c r="E175" s="17" t="inlineStr">
        <is>
          <t>LMS</t>
        </is>
      </c>
      <c r="F175" s="13" t="inlineStr">
        <is>
          <t>As an unrelated analyst with the LMS module, request another analyst's journal by id.</t>
        </is>
      </c>
      <c r="G175" s="13" t="inlineStr">
        <is>
          <t>403 and no entries returned; the picker never offered that journal in the first place.</t>
        </is>
      </c>
      <c r="H175" s="18" t="inlineStr">
        <is>
          <t>Not run</t>
        </is>
      </c>
      <c r="I175" s="18" t="n"/>
      <c r="J175" s="18" t="n"/>
      <c r="K175" s="19" t="n"/>
    </row>
    <row r="176">
      <c r="A176" s="13" t="inlineStr">
        <is>
          <t>23 Dev journal</t>
        </is>
      </c>
      <c r="B176" s="14" t="inlineStr">
        <is>
          <t>S23-07</t>
        </is>
      </c>
      <c r="C176" s="15" t="inlineStr">
        <is>
          <t>Journal</t>
        </is>
      </c>
      <c r="D176" s="48" t="inlineStr">
        <is>
          <t>New</t>
        </is>
      </c>
      <c r="E176" s="17" t="inlineStr">
        <is>
          <t>LMS</t>
        </is>
      </c>
      <c r="F176" s="13" t="inlineStr">
        <is>
          <t>Open the journal as an analyst with NO manager_id set.</t>
        </is>
      </c>
      <c r="G176" s="13" t="inlineStr">
        <is>
          <t>The journal works normally and the banner says no line manager is set, so only they can see it.</t>
        </is>
      </c>
      <c r="H176" s="18" t="inlineStr">
        <is>
          <t>Not run</t>
        </is>
      </c>
      <c r="I176" s="18" t="n"/>
      <c r="J176" s="18" t="n"/>
      <c r="K176" s="19" t="n"/>
    </row>
    <row r="177">
      <c r="A177" s="13" t="inlineStr">
        <is>
          <t>24 Mass import</t>
        </is>
      </c>
      <c r="B177" s="14" t="inlineStr">
        <is>
          <t>S24-01</t>
        </is>
      </c>
      <c r="C177" s="15" t="inlineStr">
        <is>
          <t>Access</t>
        </is>
      </c>
      <c r="D177" s="48" t="inlineStr">
        <is>
          <t>New</t>
        </is>
      </c>
      <c r="E177" s="17" t="inlineStr">
        <is>
          <t>Import</t>
        </is>
      </c>
      <c r="F177" s="13" t="inlineStr">
        <is>
          <t>Open System &gt; Mass import as an admin, then try /system/import/ and api/import/get_datasets.php as a non-admin analyst.</t>
        </is>
      </c>
      <c r="G177" s="13" t="inlineStr">
        <is>
          <t>Admin sees the page with datasets grouped by module. A non-admin is refused by the system header and the endpoints return an admin error. A dataset only appears if the admin also holds its module.</t>
        </is>
      </c>
      <c r="H177" s="18" t="inlineStr">
        <is>
          <t>Not run</t>
        </is>
      </c>
      <c r="I177" s="18" t="n"/>
      <c r="J177" s="18" t="n"/>
      <c r="K177" s="19" t="n"/>
    </row>
    <row r="178">
      <c r="A178" s="13" t="inlineStr">
        <is>
          <t>24 Mass import</t>
        </is>
      </c>
      <c r="B178" s="14" t="inlineStr">
        <is>
          <t>S24-02</t>
        </is>
      </c>
      <c r="C178" s="15" t="inlineStr">
        <is>
          <t>Import</t>
        </is>
      </c>
      <c r="D178" s="48" t="inlineStr">
        <is>
          <t>New</t>
        </is>
      </c>
      <c r="E178" s="17" t="inlineStr">
        <is>
          <t>Import</t>
        </is>
      </c>
      <c r="F178" s="13" t="inlineStr">
        <is>
          <t>Pick Customers, click Download template, open the file.</t>
        </is>
      </c>
      <c r="G178" s="13" t="inlineStr">
        <is>
          <t>The header is exactly what the importer expects, plus one example row; lookup columns show a real existing value where one exists (e.g. an actual company name) and generated keys are left blank.</t>
        </is>
      </c>
      <c r="H178" s="18" t="inlineStr">
        <is>
          <t>Not run</t>
        </is>
      </c>
      <c r="I178" s="18" t="n"/>
      <c r="J178" s="18" t="n"/>
      <c r="K178" s="19" t="n"/>
    </row>
    <row r="179">
      <c r="A179" s="13" t="inlineStr">
        <is>
          <t>24 Mass import</t>
        </is>
      </c>
      <c r="B179" s="14" t="inlineStr">
        <is>
          <t>S24-03</t>
        </is>
      </c>
      <c r="C179" s="15" t="inlineStr">
        <is>
          <t>Import</t>
        </is>
      </c>
      <c r="D179" s="48" t="inlineStr">
        <is>
          <t>New</t>
        </is>
      </c>
      <c r="E179" s="17" t="inlineStr">
        <is>
          <t>Import</t>
        </is>
      </c>
      <c r="F179" s="13" t="inlineStr">
        <is>
          <t>Load database/demo-csv/02-customers.csv with the file chooser and Preview.</t>
        </is>
      </c>
      <c r="G179" s="13" t="inlineStr">
        <is>
          <t>Reports 12 rows, 12 to create, 0 to update, no problems; lists any ignored columns; shows the first rows as they will be written; states nothing has been written yet. Commit stays locked until the preview succeeds.</t>
        </is>
      </c>
      <c r="H179" s="18" t="inlineStr">
        <is>
          <t>Not run</t>
        </is>
      </c>
      <c r="I179" s="18" t="n"/>
      <c r="J179" s="18" t="n"/>
      <c r="K179" s="19" t="n"/>
    </row>
    <row r="180">
      <c r="A180" s="13" t="inlineStr">
        <is>
          <t>24 Mass import</t>
        </is>
      </c>
      <c r="B180" s="14" t="inlineStr">
        <is>
          <t>S24-04</t>
        </is>
      </c>
      <c r="C180" s="15" t="inlineStr">
        <is>
          <t>Import</t>
        </is>
      </c>
      <c r="D180" s="48" t="inlineStr">
        <is>
          <t>New</t>
        </is>
      </c>
      <c r="E180" s="17" t="inlineStr">
        <is>
          <t>Import</t>
        </is>
      </c>
      <c r="F180" s="13" t="inlineStr">
        <is>
          <t>Commit that preview, then Preview and Commit the same file again.</t>
        </is>
      </c>
      <c r="G180" s="13" t="inlineStr">
        <is>
          <t>First commit creates 12. The second run reports 12 to UPDATE and 0 to create (matched on name) and creates no duplicates.</t>
        </is>
      </c>
      <c r="H180" s="18" t="inlineStr">
        <is>
          <t>Not run</t>
        </is>
      </c>
      <c r="I180" s="18" t="n"/>
      <c r="J180" s="18" t="n"/>
      <c r="K180" s="19" t="n"/>
    </row>
    <row r="181">
      <c r="A181" s="13" t="inlineStr">
        <is>
          <t>24 Mass import</t>
        </is>
      </c>
      <c r="B181" s="14" t="inlineStr">
        <is>
          <t>S24-05</t>
        </is>
      </c>
      <c r="C181" s="15" t="inlineStr">
        <is>
          <t>Import</t>
        </is>
      </c>
      <c r="D181" s="48" t="inlineStr">
        <is>
          <t>New</t>
        </is>
      </c>
      <c r="E181" s="17" t="inlineStr">
        <is>
          <t>Import</t>
        </is>
      </c>
      <c r="F181" s="13" t="inlineStr">
        <is>
          <t>Edit a copy of 08-tickets.csv: set one status to "Nonsense", blank one subject, and add an extra column called notes. Preview.</t>
        </is>
      </c>
      <c r="G181" s="13" t="inlineStr">
        <is>
          <t>The bad status row reports "status "Nonsense" does not exist", the blank subject reports "subject is required", "notes" is listed as an ignored column, and the remaining rows still count as importable.</t>
        </is>
      </c>
      <c r="H181" s="18" t="inlineStr">
        <is>
          <t>Not run</t>
        </is>
      </c>
      <c r="I181" s="18" t="n"/>
      <c r="J181" s="18" t="n"/>
      <c r="K181" s="19" t="n"/>
    </row>
    <row r="182">
      <c r="A182" s="13" t="inlineStr">
        <is>
          <t>24 Mass import</t>
        </is>
      </c>
      <c r="B182" s="14" t="inlineStr">
        <is>
          <t>S24-06</t>
        </is>
      </c>
      <c r="C182" s="15" t="inlineStr">
        <is>
          <t>Import</t>
        </is>
      </c>
      <c r="D182" s="48" t="inlineStr">
        <is>
          <t>New</t>
        </is>
      </c>
      <c r="E182" s="17" t="inlineStr">
        <is>
          <t>Import</t>
        </is>
      </c>
      <c r="F182" s="13" t="inlineStr">
        <is>
          <t>Commit that same file with its errors still in place.</t>
        </is>
      </c>
      <c r="G182" s="13" t="inlineStr">
        <is>
          <t>Valid rows are imported and the bad rows are reported as skipped; the counts match what the preview said. Tickets get generated ticket numbers (XXX-###-#####) because the column was left blank.</t>
        </is>
      </c>
      <c r="H182" s="18" t="inlineStr">
        <is>
          <t>Not run</t>
        </is>
      </c>
      <c r="I182" s="18" t="n"/>
      <c r="J182" s="18" t="n"/>
      <c r="K182" s="19" t="n"/>
    </row>
    <row r="183">
      <c r="A183" s="13" t="inlineStr">
        <is>
          <t>24 Mass import</t>
        </is>
      </c>
      <c r="B183" s="14" t="inlineStr">
        <is>
          <t>S24-07</t>
        </is>
      </c>
      <c r="C183" s="15" t="inlineStr">
        <is>
          <t>Isolation</t>
        </is>
      </c>
      <c r="D183" s="48" t="inlineStr">
        <is>
          <t>New</t>
        </is>
      </c>
      <c r="E183" s="17" t="inlineStr">
        <is>
          <t>Import</t>
        </is>
      </c>
      <c r="F183" s="13" t="inlineStr">
        <is>
          <t>On a multi-company install, import 07-assets.csv with company A active. Switch to company B and look at the asset list, then re-import the same file under B.</t>
        </is>
      </c>
      <c r="G183" s="13" t="inlineStr">
        <is>
          <t>Rows land in the active company only. Under B the same hostnames are CREATED again (matching is within the company), which is the intended tenant behaviour - not a duplicate bug.</t>
        </is>
      </c>
      <c r="H183" s="18" t="inlineStr">
        <is>
          <t>Not run</t>
        </is>
      </c>
      <c r="I183" s="18" t="n"/>
      <c r="J183" s="18" t="n"/>
      <c r="K183" s="19" t="n"/>
    </row>
    <row r="184">
      <c r="A184" s="13" t="inlineStr">
        <is>
          <t>24 Mass import</t>
        </is>
      </c>
      <c r="B184" s="14" t="inlineStr">
        <is>
          <t>S24-08</t>
        </is>
      </c>
      <c r="C184" s="15" t="inlineStr">
        <is>
          <t>Import</t>
        </is>
      </c>
      <c r="D184" s="48" t="inlineStr">
        <is>
          <t>New</t>
        </is>
      </c>
      <c r="E184" s="17" t="inlineStr">
        <is>
          <t>Import</t>
        </is>
      </c>
      <c r="F184" s="13" t="inlineStr">
        <is>
          <t>Import 16-certifications-held.csv without adapting the analyst emails on an install that has no such analysts.</t>
        </is>
      </c>
      <c r="G184" s="13" t="inlineStr">
        <is>
          <t>Every row reports analyst_email "..." does not exist - create it first; nothing is written. Replace the emails with real ones (or import the core demo module) and the same file imports cleanly.</t>
        </is>
      </c>
      <c r="H184" s="18" t="inlineStr">
        <is>
          <t>Not run</t>
        </is>
      </c>
      <c r="I184" s="18" t="n"/>
      <c r="J184" s="18" t="n"/>
      <c r="K184" s="19" t="n"/>
    </row>
    <row r="185">
      <c r="A185" s="13" t="inlineStr">
        <is>
          <t>24 Mass import</t>
        </is>
      </c>
      <c r="B185" s="14" t="inlineStr">
        <is>
          <t>S24-09</t>
        </is>
      </c>
      <c r="C185" s="15" t="inlineStr">
        <is>
          <t>Import</t>
        </is>
      </c>
      <c r="D185" s="48" t="inlineStr">
        <is>
          <t>New</t>
        </is>
      </c>
      <c r="E185" s="17" t="inlineStr">
        <is>
          <t>Import</t>
        </is>
      </c>
      <c r="F185" s="13" t="inlineStr">
        <is>
          <t>Import 15-certification-catalogue.csv then 16-certifications-held.csv, and check a certification that has a catalogue_name and an awarded date but no expiry.</t>
        </is>
      </c>
      <c r="G185" s="13" t="inlineStr">
        <is>
          <t>The catalogue entry is linked and the expiry is derived from its validity_months. Re-importing 16 updates the same records (matched on analyst + title) rather than duplicating them.</t>
        </is>
      </c>
      <c r="H185" s="18" t="inlineStr">
        <is>
          <t>Not run</t>
        </is>
      </c>
      <c r="I185" s="18" t="n"/>
      <c r="J185" s="18" t="n"/>
      <c r="K185" s="19" t="n"/>
    </row>
    <row r="186">
      <c r="A186" s="13" t="inlineStr">
        <is>
          <t>24 Mass import</t>
        </is>
      </c>
      <c r="B186" s="14" t="inlineStr">
        <is>
          <t>S24-10</t>
        </is>
      </c>
      <c r="C186" s="15" t="inlineStr">
        <is>
          <t>Security</t>
        </is>
      </c>
      <c r="D186" s="48" t="inlineStr">
        <is>
          <t>New</t>
        </is>
      </c>
      <c r="E186" s="17" t="inlineStr">
        <is>
          <t>Import</t>
        </is>
      </c>
      <c r="F186" s="13" t="inlineStr">
        <is>
          <t>Confirm what cannot be imported: look for an Analysts dataset, and check the datasets list for journal entries, API keys, workflows and SLA policies.</t>
        </is>
      </c>
      <c r="G186" s="13" t="inlineStr">
        <is>
          <t>None of them are offered - staff carry credentials and module access, the journal belongs to two people, and secrets/wiring are deliberately out of scope.</t>
        </is>
      </c>
      <c r="H186" s="18" t="inlineStr">
        <is>
          <t>Not run</t>
        </is>
      </c>
      <c r="I186" s="18" t="n"/>
      <c r="J186" s="18" t="n"/>
      <c r="K186" s="19" t="n"/>
    </row>
    <row r="187">
      <c r="A187" s="13" t="inlineStr">
        <is>
          <t>24 Mass import</t>
        </is>
      </c>
      <c r="B187" s="14" t="inlineStr">
        <is>
          <t>S24-11</t>
        </is>
      </c>
      <c r="C187" s="15" t="inlineStr">
        <is>
          <t>Audit</t>
        </is>
      </c>
      <c r="D187" s="48" t="inlineStr">
        <is>
          <t>New</t>
        </is>
      </c>
      <c r="E187" s="17" t="inlineStr">
        <is>
          <t>Import</t>
        </is>
      </c>
      <c r="F187" s="13" t="inlineStr">
        <is>
          <t>After a commit, open System &gt; Audit log (and Reporting &gt; Logs).</t>
        </is>
      </c>
      <c r="G187" s="13" t="inlineStr">
        <is>
          <t>A data_import entry records the dataset with created / updated / skipped counts and the admin who ran it.</t>
        </is>
      </c>
      <c r="H187" s="18" t="inlineStr">
        <is>
          <t>Not run</t>
        </is>
      </c>
      <c r="I187" s="18" t="n"/>
      <c r="J187" s="18" t="n"/>
      <c r="K187" s="19" t="n"/>
    </row>
    <row r="188">
      <c r="A188" s="13" t="inlineStr">
        <is>
          <t>24 Mass import</t>
        </is>
      </c>
      <c r="B188" s="14" t="inlineStr">
        <is>
          <t>S24-12</t>
        </is>
      </c>
      <c r="C188" s="15" t="inlineStr">
        <is>
          <t>Import</t>
        </is>
      </c>
      <c r="D188" s="48" t="inlineStr">
        <is>
          <t>New</t>
        </is>
      </c>
      <c r="E188" s="17" t="inlineStr">
        <is>
          <t>Import</t>
        </is>
      </c>
      <c r="F188" s="13" t="inlineStr">
        <is>
          <t>Work through database/demo-csv/ in filename order (01 to 17), following its README.</t>
        </is>
      </c>
      <c r="G188" s="13" t="inlineStr">
        <is>
          <t>Every file imports with zero unexpected errors; afterwards the modules are populated enough to run the rest of this plan: ~340 records including contracts in all four reminder windows, assets either side of EOL, 40 tickets across every status, and certifications that are amber and red on the Training page.</t>
        </is>
      </c>
      <c r="H188" s="18" t="inlineStr">
        <is>
          <t>Not run</t>
        </is>
      </c>
      <c r="I188" s="18" t="n"/>
      <c r="J188" s="18" t="n"/>
      <c r="K188" s="19" t="n"/>
    </row>
    <row r="189">
      <c r="A189" s="13" t="inlineStr">
        <is>
          <t>25 Reset data</t>
        </is>
      </c>
      <c r="B189" s="14" t="inlineStr">
        <is>
          <t>S25-01</t>
        </is>
      </c>
      <c r="C189" s="15" t="inlineStr">
        <is>
          <t>Access</t>
        </is>
      </c>
      <c r="D189" s="48" t="inlineStr">
        <is>
          <t>New</t>
        </is>
      </c>
      <c r="E189" s="17" t="inlineStr">
        <is>
          <t>Reset</t>
        </is>
      </c>
      <c r="F189" s="13" t="inlineStr">
        <is>
          <t>Open System &gt; Reset data as an admin; then request api/system/reset_data.php and api/system/get_reset_groups.php as a non-admin analyst.</t>
        </is>
      </c>
      <c r="G189" s="13" t="inlineStr">
        <is>
          <t>Admin sees 17 groups with live row counts and a total. A non-admin is refused by the system header and both endpoints return an admin error.</t>
        </is>
      </c>
      <c r="H189" s="18" t="inlineStr">
        <is>
          <t>Not run</t>
        </is>
      </c>
      <c r="I189" s="18" t="n"/>
      <c r="J189" s="18" t="n"/>
      <c r="K189" s="19" t="n"/>
    </row>
    <row r="190">
      <c r="A190" s="13" t="inlineStr">
        <is>
          <t>25 Reset data</t>
        </is>
      </c>
      <c r="B190" s="14" t="inlineStr">
        <is>
          <t>S25-02</t>
        </is>
      </c>
      <c r="C190" s="15" t="inlineStr">
        <is>
          <t>Reset</t>
        </is>
      </c>
      <c r="D190" s="48" t="inlineStr">
        <is>
          <t>New</t>
        </is>
      </c>
      <c r="E190" s="17" t="inlineStr">
        <is>
          <t>Reset</t>
        </is>
      </c>
      <c r="F190" s="13" t="inlineStr">
        <is>
          <t>Tick two groups and press Preview. Read the table list. Then tick a third group WITHOUT previewing again.</t>
        </is>
      </c>
      <c r="G190" s="13" t="inlineStr">
        <is>
          <t>The preview lists every table with its exact row count and says nothing has been deleted. Adding the third group re-locks the delete button ("preview again") - a preview only authorises the selection it covered.</t>
        </is>
      </c>
      <c r="H190" s="18" t="inlineStr">
        <is>
          <t>Not run</t>
        </is>
      </c>
      <c r="I190" s="18" t="n"/>
      <c r="J190" s="18" t="n"/>
      <c r="K190" s="19" t="n"/>
    </row>
    <row r="191">
      <c r="A191" s="13" t="inlineStr">
        <is>
          <t>25 Reset data</t>
        </is>
      </c>
      <c r="B191" s="14" t="inlineStr">
        <is>
          <t>S25-03</t>
        </is>
      </c>
      <c r="C191" s="15" t="inlineStr">
        <is>
          <t>Reset</t>
        </is>
      </c>
      <c r="D191" s="48" t="inlineStr">
        <is>
          <t>New</t>
        </is>
      </c>
      <c r="E191" s="17" t="inlineStr">
        <is>
          <t>Reset</t>
        </is>
      </c>
      <c r="F191" s="13" t="inlineStr">
        <is>
          <t>With a valid preview in place, try the delete button before typing anything, then type the phrase incorrectly (e.g. lower case), then exactly.</t>
        </is>
      </c>
      <c r="G191" s="13" t="inlineStr">
        <is>
          <t>The button stays disabled until the phrase matches exactly; a direct POST without it returns "Type DELETE TEST DATA exactly to confirm." and writes nothing.</t>
        </is>
      </c>
      <c r="H191" s="18" t="inlineStr">
        <is>
          <t>Not run</t>
        </is>
      </c>
      <c r="I191" s="18" t="n"/>
      <c r="J191" s="18" t="n"/>
      <c r="K191" s="19" t="n"/>
    </row>
    <row r="192">
      <c r="A192" s="13" t="inlineStr">
        <is>
          <t>25 Reset data</t>
        </is>
      </c>
      <c r="B192" s="14" t="inlineStr">
        <is>
          <t>S25-04</t>
        </is>
      </c>
      <c r="C192" s="15" t="inlineStr">
        <is>
          <t>Reset</t>
        </is>
      </c>
      <c r="D192" s="48" t="inlineStr">
        <is>
          <t>New</t>
        </is>
      </c>
      <c r="E192" s="17" t="inlineStr">
        <is>
          <t>Reset</t>
        </is>
      </c>
      <c r="F192" s="13" t="inlineStr">
        <is>
          <t>Take a backup. Then wipe the Tickets group only, and check the Tickets module, the CMDB, and a CI that had custom field values.</t>
        </is>
      </c>
      <c r="G192" s="13" t="inlineStr">
        <is>
          <t>Tickets and their children are gone; ticket statuses, priorities, queues, canned responses and mailboxes all survive; CMDB items survive AND keep their custom field values (only entity_type=ticket rows were deleted).</t>
        </is>
      </c>
      <c r="H192" s="18" t="inlineStr">
        <is>
          <t>Not run</t>
        </is>
      </c>
      <c r="I192" s="18" t="n"/>
      <c r="J192" s="18" t="n"/>
      <c r="K192" s="19" t="n"/>
    </row>
    <row r="193">
      <c r="A193" s="13" t="inlineStr">
        <is>
          <t>25 Reset data</t>
        </is>
      </c>
      <c r="B193" s="14" t="inlineStr">
        <is>
          <t>S25-05</t>
        </is>
      </c>
      <c r="C193" s="15" t="inlineStr">
        <is>
          <t>Reset</t>
        </is>
      </c>
      <c r="D193" s="48" t="inlineStr">
        <is>
          <t>New</t>
        </is>
      </c>
      <c r="E193" s="17" t="inlineStr">
        <is>
          <t>Reset</t>
        </is>
      </c>
      <c r="F193" s="13" t="inlineStr">
        <is>
          <t>Wipe every group, then walk the configuration: analysts, teams, companies, module access, SLA policies and calendars, statuses, CMDB classes, forms, catalogue items, workflows, KPI definitions, certification catalogue, LMS courses.</t>
        </is>
      </c>
      <c r="G193" s="13" t="inlineStr">
        <is>
          <t>Every one of those survives untouched. Row counts on the page drop to zero for the wiped groups. You can still log in and the modules all open, empty.</t>
        </is>
      </c>
      <c r="H193" s="18" t="inlineStr">
        <is>
          <t>Not run</t>
        </is>
      </c>
      <c r="I193" s="18" t="n"/>
      <c r="J193" s="18" t="n"/>
      <c r="K193" s="19" t="n"/>
    </row>
    <row r="194">
      <c r="A194" s="13" t="inlineStr">
        <is>
          <t>25 Reset data</t>
        </is>
      </c>
      <c r="B194" s="14" t="inlineStr">
        <is>
          <t>S25-06</t>
        </is>
      </c>
      <c r="C194" s="15" t="inlineStr">
        <is>
          <t>Audit</t>
        </is>
      </c>
      <c r="D194" s="48" t="inlineStr">
        <is>
          <t>New</t>
        </is>
      </c>
      <c r="E194" s="17" t="inlineStr">
        <is>
          <t>Reset</t>
        </is>
      </c>
      <c r="F194" s="13" t="inlineStr">
        <is>
          <t>After a wipe that INCLUDED the logs group, open System &gt; Audit log.</t>
        </is>
      </c>
      <c r="G194" s="13" t="inlineStr">
        <is>
          <t>A data_reset entry records the groups and the row count, naming the admin who ran it - it is written after the deletes on purpose, so wiping logs does not erase the record of the wipe.</t>
        </is>
      </c>
      <c r="H194" s="18" t="inlineStr">
        <is>
          <t>Not run</t>
        </is>
      </c>
      <c r="I194" s="18" t="n"/>
      <c r="J194" s="18" t="n"/>
      <c r="K194" s="19" t="n"/>
    </row>
    <row r="195">
      <c r="A195" s="13" t="inlineStr">
        <is>
          <t>25 Reset data</t>
        </is>
      </c>
      <c r="B195" s="14" t="inlineStr">
        <is>
          <t>S25-07</t>
        </is>
      </c>
      <c r="C195" s="15" t="inlineStr">
        <is>
          <t>Reset</t>
        </is>
      </c>
      <c r="D195" s="48" t="inlineStr">
        <is>
          <t>New</t>
        </is>
      </c>
      <c r="E195" s="17" t="inlineStr">
        <is>
          <t>Reset</t>
        </is>
      </c>
      <c r="F195" s="13" t="inlineStr">
        <is>
          <t>On the command line: docker compose exec app php scripts/wipe-test-data.php (no arguments), then --groups=kpi, then --groups=kpi --confirm. Also try --confirm on its own.</t>
        </is>
      </c>
      <c r="G195" s="13" t="inlineStr">
        <is>
          <t>No arguments lists groups and counts. --groups=kpi dry-runs and states nothing was deleted. Adding --confirm deletes and reports the count. --confirm alone is refused rather than treated as "everything".</t>
        </is>
      </c>
      <c r="H195" s="18" t="inlineStr">
        <is>
          <t>Not run</t>
        </is>
      </c>
      <c r="I195" s="18" t="n"/>
      <c r="J195" s="18" t="n"/>
      <c r="K195" s="19" t="n"/>
    </row>
    <row r="196">
      <c r="A196" s="13" t="inlineStr">
        <is>
          <t>26 Reading pane</t>
        </is>
      </c>
      <c r="B196" s="14" t="inlineStr">
        <is>
          <t>S26-01</t>
        </is>
      </c>
      <c r="C196" s="15" t="inlineStr">
        <is>
          <t>Setup</t>
        </is>
      </c>
      <c r="D196" s="48" t="inlineStr">
        <is>
          <t>New</t>
        </is>
      </c>
      <c r="E196" s="17" t="inlineStr">
        <is>
          <t>12a</t>
        </is>
      </c>
      <c r="F196" s="13" t="inlineStr">
        <is>
          <t>Clear the browser's localStorage for the site, then open any ticket in the reading pane.</t>
        </is>
      </c>
      <c r="G196" s="13" t="inlineStr">
        <is>
          <t>CMDB objects, Custom fields, SLA, Time entries and Notes each render as one collapsible section with a chevron, a title and a summary. SLA is the only one expanded.</t>
        </is>
      </c>
      <c r="H196" s="18" t="inlineStr">
        <is>
          <t>Not run</t>
        </is>
      </c>
      <c r="I196" s="18" t="n"/>
      <c r="J196" s="18" t="n"/>
      <c r="K196" s="19" t="n"/>
    </row>
    <row r="197">
      <c r="A197" s="13" t="inlineStr">
        <is>
          <t>26 Reading pane</t>
        </is>
      </c>
      <c r="B197" s="14" t="inlineStr">
        <is>
          <t>S26-02</t>
        </is>
      </c>
      <c r="C197" s="15" t="inlineStr">
        <is>
          <t>Layout</t>
        </is>
      </c>
      <c r="D197" s="48" t="inlineStr">
        <is>
          <t>New</t>
        </is>
      </c>
      <c r="E197" s="17" t="inlineStr">
        <is>
          <t>12a</t>
        </is>
      </c>
      <c r="F197" s="13" t="inlineStr">
        <is>
          <t>Open a ticket that has 3 linked CIs (one primary), 7 custom fields with 4 set and 1 required still empty, 5 time entries totalling 3h 45m, and at least one note. Collapse every section.</t>
        </is>
      </c>
      <c r="G197" s="13" t="inlineStr">
        <is>
          <t>Each collapsed header still tells you something: '3 items - primary: SRV-DC01', '4 of 7 set - 1 required missing', 'Response met - Resolution 2h 10m left', '3h 45m - 5 entries', and a note count.</t>
        </is>
      </c>
      <c r="H197" s="18" t="inlineStr">
        <is>
          <t>Not run</t>
        </is>
      </c>
      <c r="I197" s="18" t="n"/>
      <c r="J197" s="18" t="n"/>
      <c r="K197" s="19" t="n"/>
    </row>
    <row r="198">
      <c r="A198" s="13" t="inlineStr">
        <is>
          <t>26 Reading pane</t>
        </is>
      </c>
      <c r="B198" s="14" t="inlineStr">
        <is>
          <t>S26-03</t>
        </is>
      </c>
      <c r="C198" s="15" t="inlineStr">
        <is>
          <t>Layout</t>
        </is>
      </c>
      <c r="D198" s="48" t="inlineStr">
        <is>
          <t>New</t>
        </is>
      </c>
      <c r="E198" s="17" t="inlineStr">
        <is>
          <t>12a</t>
        </is>
      </c>
      <c r="F198" s="13" t="inlineStr">
        <is>
          <t>Expand Time entries and collapse SLA, then reload the page and open a different ticket.</t>
        </is>
      </c>
      <c r="G198" s="13" t="inlineStr">
        <is>
          <t>The state is remembered per section and applies to every ticket, not just the one it was set on.</t>
        </is>
      </c>
      <c r="H198" s="18" t="inlineStr">
        <is>
          <t>Not run</t>
        </is>
      </c>
      <c r="I198" s="18" t="n"/>
      <c r="J198" s="18" t="n"/>
      <c r="K198" s="19" t="n"/>
    </row>
    <row r="199">
      <c r="A199" s="13" t="inlineStr">
        <is>
          <t>26 Reading pane</t>
        </is>
      </c>
      <c r="B199" s="14" t="inlineStr">
        <is>
          <t>S26-04</t>
        </is>
      </c>
      <c r="C199" s="15" t="inlineStr">
        <is>
          <t>Tenancy</t>
        </is>
      </c>
      <c r="D199" s="48" t="inlineStr">
        <is>
          <t>New</t>
        </is>
      </c>
      <c r="E199" s="17" t="inlineStr">
        <is>
          <t>12a</t>
        </is>
      </c>
      <c r="F199" s="13" t="inlineStr">
        <is>
          <t>As a second analyst on another browser profile, open a ticket after analyst A has changed their section states.</t>
        </is>
      </c>
      <c r="G199" s="13" t="inlineStr">
        <is>
          <t>Analyst B sees the shipped defaults (SLA open, the rest closed). State is per analyst, held in localStorage, and does not leak between them.</t>
        </is>
      </c>
      <c r="H199" s="18" t="inlineStr">
        <is>
          <t>Not run</t>
        </is>
      </c>
      <c r="I199" s="18" t="n"/>
      <c r="J199" s="18" t="n"/>
      <c r="K199" s="19" t="n"/>
    </row>
    <row r="200">
      <c r="A200" s="13" t="inlineStr">
        <is>
          <t>26 Reading pane</t>
        </is>
      </c>
      <c r="B200" s="14" t="inlineStr">
        <is>
          <t>S26-05</t>
        </is>
      </c>
      <c r="C200" s="15" t="inlineStr">
        <is>
          <t>Layout</t>
        </is>
      </c>
      <c r="D200" s="48" t="inlineStr">
        <is>
          <t>New</t>
        </is>
      </c>
      <c r="E200" s="17" t="inlineStr">
        <is>
          <t>12a</t>
        </is>
      </c>
      <c r="F200" s="13" t="inlineStr">
        <is>
          <t>Open the browser in private mode with storage blocked, then open a ticket and toggle a section.</t>
        </is>
      </c>
      <c r="G200" s="13" t="inlineStr">
        <is>
          <t>Sections render with the default state and toggling still works for that session. No console exception; the missing storage is handled.</t>
        </is>
      </c>
      <c r="H200" s="18" t="inlineStr">
        <is>
          <t>Not run</t>
        </is>
      </c>
      <c r="I200" s="18" t="n"/>
      <c r="J200" s="18" t="n"/>
      <c r="K200" s="19" t="n"/>
    </row>
    <row r="201">
      <c r="A201" s="13" t="inlineStr">
        <is>
          <t>26 Reading pane</t>
        </is>
      </c>
      <c r="B201" s="14" t="inlineStr">
        <is>
          <t>S26-06</t>
        </is>
      </c>
      <c r="C201" s="15" t="inlineStr">
        <is>
          <t>Layout</t>
        </is>
      </c>
      <c r="D201" s="48" t="inlineStr">
        <is>
          <t>New</t>
        </is>
      </c>
      <c r="E201" s="17" t="inlineStr">
        <is>
          <t>12a</t>
        </is>
      </c>
      <c r="F201" s="13" t="inlineStr">
        <is>
          <t>Open a ticket, pop it out into its own window, and check every section.</t>
        </is>
      </c>
      <c r="G201" s="13" t="inlineStr">
        <is>
          <t>The pop-out shows the same five collapsible sections with its own CSS overrides applied - no broken layout, no duplicated headers.</t>
        </is>
      </c>
      <c r="H201" s="18" t="inlineStr">
        <is>
          <t>Not run</t>
        </is>
      </c>
      <c r="I201" s="18" t="n"/>
      <c r="J201" s="18" t="n"/>
      <c r="K201" s="19" t="n"/>
    </row>
    <row r="202">
      <c r="A202" s="13" t="inlineStr">
        <is>
          <t>26 Reading pane</t>
        </is>
      </c>
      <c r="B202" s="14" t="inlineStr">
        <is>
          <t>S26-07</t>
        </is>
      </c>
      <c r="C202" s="15" t="inlineStr">
        <is>
          <t>Layout</t>
        </is>
      </c>
      <c r="D202" s="48" t="inlineStr">
        <is>
          <t>New</t>
        </is>
      </c>
      <c r="E202" s="17" t="inlineStr">
        <is>
          <t>12a</t>
        </is>
      </c>
      <c r="F202" s="13" t="inlineStr">
        <is>
          <t>Click a button inside a section header (for example the add control in the Time entries header).</t>
        </is>
      </c>
      <c r="G202" s="13" t="inlineStr">
        <is>
          <t>The button acts without toggling the section open or closed.</t>
        </is>
      </c>
      <c r="H202" s="18" t="inlineStr">
        <is>
          <t>Not run</t>
        </is>
      </c>
      <c r="I202" s="18" t="n"/>
      <c r="J202" s="18" t="n"/>
      <c r="K202" s="19" t="n"/>
    </row>
    <row r="203">
      <c r="A203" s="13" t="inlineStr">
        <is>
          <t>27 Time tracking</t>
        </is>
      </c>
      <c r="B203" s="14" t="inlineStr">
        <is>
          <t>S27-01</t>
        </is>
      </c>
      <c r="C203" s="15" t="inlineStr">
        <is>
          <t>Environment</t>
        </is>
      </c>
      <c r="D203" s="48" t="inlineStr">
        <is>
          <t>Setup</t>
        </is>
      </c>
      <c r="E203" s="17" t="inlineStr">
        <is>
          <t>12b</t>
        </is>
      </c>
      <c r="F203" s="13" t="inlineStr">
        <is>
          <t>Run Database Verify, then: docker compose exec app php scripts/check-view-time.php</t>
        </is>
      </c>
      <c r="G203" s="13" t="inlineStr">
        <is>
          <t>ticket_view_sessions and ticket_time_entries.source exist; time_auto_track_enabled=1, time_auto_idle_seconds=300, time_auto_min_seconds=30. The script reports no configuration problems and exits 0.</t>
        </is>
      </c>
      <c r="H203" s="18" t="inlineStr">
        <is>
          <t>Not run</t>
        </is>
      </c>
      <c r="I203" s="18" t="n"/>
      <c r="J203" s="18" t="n"/>
      <c r="K203" s="19" t="n"/>
    </row>
    <row r="204">
      <c r="A204" s="13" t="inlineStr">
        <is>
          <t>27 Time tracking</t>
        </is>
      </c>
      <c r="B204" s="14" t="inlineStr">
        <is>
          <t>S27-02</t>
        </is>
      </c>
      <c r="C204" s="15" t="inlineStr">
        <is>
          <t>Environment</t>
        </is>
      </c>
      <c r="D204" s="48" t="inlineStr">
        <is>
          <t>New</t>
        </is>
      </c>
      <c r="E204" s="17" t="inlineStr">
        <is>
          <t>12b</t>
        </is>
      </c>
      <c r="F204" s="13" t="inlineStr">
        <is>
          <t>On an install where Database Verify has NOT been run, run scripts/check-view-time.php, then open a ticket with the browser console open for 40 seconds.</t>
        </is>
      </c>
      <c r="G204" s="13" t="inlineStr">
        <is>
          <t>The script names ticket_view_sessions as MISSING and exits non-zero. The console shows ONE '[view-time]' warning saying beats reach the server but record nothing - not one per beat.</t>
        </is>
      </c>
      <c r="H204" s="18" t="inlineStr">
        <is>
          <t>Not run</t>
        </is>
      </c>
      <c r="I204" s="18" t="n"/>
      <c r="J204" s="18" t="n"/>
      <c r="K204" s="19" t="n"/>
    </row>
    <row r="205">
      <c r="A205" s="13" t="inlineStr">
        <is>
          <t>27 Time tracking</t>
        </is>
      </c>
      <c r="B205" s="14" t="inlineStr">
        <is>
          <t>S27-03</t>
        </is>
      </c>
      <c r="C205" s="15" t="inlineStr">
        <is>
          <t>Time</t>
        </is>
      </c>
      <c r="D205" s="48" t="inlineStr">
        <is>
          <t>New</t>
        </is>
      </c>
      <c r="E205" s="17" t="inlineStr">
        <is>
          <t>12b</t>
        </is>
      </c>
      <c r="F205" s="13" t="inlineStr">
        <is>
          <t>Open a ticket and work in it, keeping the tab focused and moving the mouse, for 3 minutes.</t>
        </is>
      </c>
      <c r="G205" s="13" t="inlineStr">
        <is>
          <t>check-view-time.php shows one session for that analyst and ticket holding roughly 180 focused seconds.</t>
        </is>
      </c>
      <c r="H205" s="18" t="inlineStr">
        <is>
          <t>Not run</t>
        </is>
      </c>
      <c r="I205" s="18" t="n"/>
      <c r="J205" s="18" t="n"/>
      <c r="K205" s="19" t="n"/>
    </row>
    <row r="206">
      <c r="A206" s="13" t="inlineStr">
        <is>
          <t>27 Time tracking</t>
        </is>
      </c>
      <c r="B206" s="14" t="inlineStr">
        <is>
          <t>S27-04</t>
        </is>
      </c>
      <c r="C206" s="15" t="inlineStr">
        <is>
          <t>Time</t>
        </is>
      </c>
      <c r="D206" s="48" t="inlineStr">
        <is>
          <t>New</t>
        </is>
      </c>
      <c r="E206" s="17" t="inlineStr">
        <is>
          <t>12b</t>
        </is>
      </c>
      <c r="F206" s="13" t="inlineStr">
        <is>
          <t>Open a ticket, switch to a different browser tab for 3 minutes, then come back.</t>
        </is>
      </c>
      <c r="G206" s="13" t="inlineStr">
        <is>
          <t>The session grows only by the tail flushed at the moment of switching. The 3 minutes spent on another tab are not counted.</t>
        </is>
      </c>
      <c r="H206" s="18" t="inlineStr">
        <is>
          <t>Not run</t>
        </is>
      </c>
      <c r="I206" s="18" t="n"/>
      <c r="J206" s="18" t="n"/>
      <c r="K206" s="19" t="n"/>
    </row>
    <row r="207">
      <c r="A207" s="13" t="inlineStr">
        <is>
          <t>27 Time tracking</t>
        </is>
      </c>
      <c r="B207" s="14" t="inlineStr">
        <is>
          <t>S27-05</t>
        </is>
      </c>
      <c r="C207" s="15" t="inlineStr">
        <is>
          <t>Time</t>
        </is>
      </c>
      <c r="D207" s="48" t="inlineStr">
        <is>
          <t>New</t>
        </is>
      </c>
      <c r="E207" s="17" t="inlineStr">
        <is>
          <t>12b</t>
        </is>
      </c>
      <c r="F207" s="13" t="inlineStr">
        <is>
          <t>Open a ticket and leave the tab focused but completely untouched for 10 minutes.</t>
        </is>
      </c>
      <c r="G207" s="13" t="inlineStr">
        <is>
          <t>No more than about 2 minutes is added. Idle time past time_auto_idle_seconds is not accumulated, so a ticket left open overnight proposes nothing for the night.</t>
        </is>
      </c>
      <c r="H207" s="18" t="inlineStr">
        <is>
          <t>Not run</t>
        </is>
      </c>
      <c r="I207" s="18" t="n"/>
      <c r="J207" s="18" t="n"/>
      <c r="K207" s="19" t="n"/>
    </row>
    <row r="208">
      <c r="A208" s="13" t="inlineStr">
        <is>
          <t>27 Time tracking</t>
        </is>
      </c>
      <c r="B208" s="14" t="inlineStr">
        <is>
          <t>S27-06</t>
        </is>
      </c>
      <c r="C208" s="15" t="inlineStr">
        <is>
          <t>Time</t>
        </is>
      </c>
      <c r="D208" s="48" t="inlineStr">
        <is>
          <t>New</t>
        </is>
      </c>
      <c r="E208" s="17" t="inlineStr">
        <is>
          <t>12b</t>
        </is>
      </c>
      <c r="F208" s="13" t="inlineStr">
        <is>
          <t>Open a ticket, suspend the machine for 30 minutes, then resume with the tab still focused.</t>
        </is>
      </c>
      <c r="G208" s="13" t="inlineStr">
        <is>
          <t>The resumed beat adds at most ~120 seconds, not 30 minutes - each beat is clamped server-side, so a doctored or delayed request cannot claim an hour.</t>
        </is>
      </c>
      <c r="H208" s="18" t="inlineStr">
        <is>
          <t>Not run</t>
        </is>
      </c>
      <c r="I208" s="18" t="n"/>
      <c r="J208" s="18" t="n"/>
      <c r="K208" s="19" t="n"/>
    </row>
    <row r="209">
      <c r="A209" s="13" t="inlineStr">
        <is>
          <t>27 Time tracking</t>
        </is>
      </c>
      <c r="B209" s="14" t="inlineStr">
        <is>
          <t>S27-07</t>
        </is>
      </c>
      <c r="C209" s="15" t="inlineStr">
        <is>
          <t>Time</t>
        </is>
      </c>
      <c r="D209" s="48" t="inlineStr">
        <is>
          <t>New</t>
        </is>
      </c>
      <c r="E209" s="17" t="inlineStr">
        <is>
          <t>12b</t>
        </is>
      </c>
      <c r="F209" s="13" t="inlineStr">
        <is>
          <t>Open a ticket that has no unclaimed time and work in it continuously for one minute WITHOUT navigating away or reloading.</t>
        </is>
      </c>
      <c r="G209" s="13" t="inlineStr">
        <is>
          <t>REGRESSION: the Time section opens itself and shows 'You have had this ticket open for...' with an editable figure, Log it and Discard. It must appear during this sitting - previously it only showed after leaving the ticket and returning.</t>
        </is>
      </c>
      <c r="H209" s="18" t="inlineStr">
        <is>
          <t>Not run</t>
        </is>
      </c>
      <c r="I209" s="18" t="n"/>
      <c r="J209" s="18" t="n"/>
      <c r="K209" s="19" t="n"/>
    </row>
    <row r="210">
      <c r="A210" s="13" t="inlineStr">
        <is>
          <t>27 Time tracking</t>
        </is>
      </c>
      <c r="B210" s="14" t="inlineStr">
        <is>
          <t>S27-08</t>
        </is>
      </c>
      <c r="C210" s="15" t="inlineStr">
        <is>
          <t>Time</t>
        </is>
      </c>
      <c r="D210" s="48" t="inlineStr">
        <is>
          <t>New</t>
        </is>
      </c>
      <c r="E210" s="17" t="inlineStr">
        <is>
          <t>12b</t>
        </is>
      </c>
      <c r="F210" s="13" t="inlineStr">
        <is>
          <t>With a proposal on screen, collapse the Time entries section and watch the header for two more beats.</t>
        </is>
      </c>
      <c r="G210" s="13" t="inlineStr">
        <is>
          <t>The collapsed header carries a highlighted 'Xm tracked, not logged' fragment and its figure keeps rising.</t>
        </is>
      </c>
      <c r="H210" s="18" t="inlineStr">
        <is>
          <t>Not run</t>
        </is>
      </c>
      <c r="I210" s="18" t="n"/>
      <c r="J210" s="18" t="n"/>
      <c r="K210" s="19" t="n"/>
    </row>
    <row r="211">
      <c r="A211" s="13" t="inlineStr">
        <is>
          <t>27 Time tracking</t>
        </is>
      </c>
      <c r="B211" s="14" t="inlineStr">
        <is>
          <t>S27-09</t>
        </is>
      </c>
      <c r="C211" s="15" t="inlineStr">
        <is>
          <t>Time</t>
        </is>
      </c>
      <c r="D211" s="48" t="inlineStr">
        <is>
          <t>New</t>
        </is>
      </c>
      <c r="E211" s="17" t="inlineStr">
        <is>
          <t>12b</t>
        </is>
      </c>
      <c r="F211" s="13" t="inlineStr">
        <is>
          <t>Type your own number into the proposal's minutes box, then wait for two more heartbeats.</t>
        </is>
      </c>
      <c r="G211" s="13" t="inlineStr">
        <is>
          <t>The typed number is left alone. The prose figure and the header summary still update around it.</t>
        </is>
      </c>
      <c r="H211" s="18" t="inlineStr">
        <is>
          <t>Not run</t>
        </is>
      </c>
      <c r="I211" s="18" t="n"/>
      <c r="J211" s="18" t="n"/>
      <c r="K211" s="19" t="n"/>
    </row>
    <row r="212">
      <c r="A212" s="13" t="inlineStr">
        <is>
          <t>27 Time tracking</t>
        </is>
      </c>
      <c r="B212" s="14" t="inlineStr">
        <is>
          <t>S27-10</t>
        </is>
      </c>
      <c r="C212" s="15" t="inlineStr">
        <is>
          <t>Time</t>
        </is>
      </c>
      <c r="D212" s="48" t="inlineStr">
        <is>
          <t>New</t>
        </is>
      </c>
      <c r="E212" s="17" t="inlineStr">
        <is>
          <t>12b</t>
        </is>
      </c>
      <c r="F212" s="13" t="inlineStr">
        <is>
          <t>Open a ticket, interact for about 10 seconds, move to another ticket, then look at check-view-time.php.</t>
        </is>
      </c>
      <c r="G212" s="13" t="inlineStr">
        <is>
          <t>REGRESSION: a session of roughly 10 seconds exists - the tail is flushed on ticket switch rather than discarded - and the script notes it is under the minimum, so nothing is proposed.</t>
        </is>
      </c>
      <c r="H212" s="18" t="inlineStr">
        <is>
          <t>Not run</t>
        </is>
      </c>
      <c r="I212" s="18" t="n"/>
      <c r="J212" s="18" t="n"/>
      <c r="K212" s="19" t="n"/>
    </row>
    <row r="213">
      <c r="A213" s="13" t="inlineStr">
        <is>
          <t>27 Time tracking</t>
        </is>
      </c>
      <c r="B213" s="14" t="inlineStr">
        <is>
          <t>S27-11</t>
        </is>
      </c>
      <c r="C213" s="15" t="inlineStr">
        <is>
          <t>Time</t>
        </is>
      </c>
      <c r="D213" s="48" t="inlineStr">
        <is>
          <t>New</t>
        </is>
      </c>
      <c r="E213" s="17" t="inlineStr">
        <is>
          <t>12b</t>
        </is>
      </c>
      <c r="F213" s="13" t="inlineStr">
        <is>
          <t>Visit a ticket for ~15 seconds, leave, return within 2 minutes, and repeat three times.</t>
        </is>
      </c>
      <c r="G213" s="13" t="inlineStr">
        <is>
          <t>The seconds accumulate into one session of roughly 45 seconds and a proposal appears once it passes 30. Short visits are not thrown away.</t>
        </is>
      </c>
      <c r="H213" s="18" t="inlineStr">
        <is>
          <t>Not run</t>
        </is>
      </c>
      <c r="I213" s="18" t="n"/>
      <c r="J213" s="18" t="n"/>
      <c r="K213" s="19" t="n"/>
    </row>
    <row r="214">
      <c r="A214" s="13" t="inlineStr">
        <is>
          <t>27 Time tracking</t>
        </is>
      </c>
      <c r="B214" s="14" t="inlineStr">
        <is>
          <t>S27-12</t>
        </is>
      </c>
      <c r="C214" s="15" t="inlineStr">
        <is>
          <t>Time</t>
        </is>
      </c>
      <c r="D214" s="48" t="inlineStr">
        <is>
          <t>New</t>
        </is>
      </c>
      <c r="E214" s="17" t="inlineStr">
        <is>
          <t>12b</t>
        </is>
      </c>
      <c r="F214" s="13" t="inlineStr">
        <is>
          <t>With a proposal showing a known number of minutes, click Log it.</t>
        </is>
      </c>
      <c r="G214" s="13" t="inlineStr">
        <is>
          <t>A time entry is created for those minutes, noted 'Tracked automatically while the ticket was open' and badged 'tracked'. The proposal clears.</t>
        </is>
      </c>
      <c r="H214" s="18" t="inlineStr">
        <is>
          <t>Not run</t>
        </is>
      </c>
      <c r="I214" s="18" t="n"/>
      <c r="J214" s="18" t="n"/>
      <c r="K214" s="19" t="n"/>
    </row>
    <row r="215">
      <c r="A215" s="13" t="inlineStr">
        <is>
          <t>27 Time tracking</t>
        </is>
      </c>
      <c r="B215" s="14" t="inlineStr">
        <is>
          <t>S27-13</t>
        </is>
      </c>
      <c r="C215" s="15" t="inlineStr">
        <is>
          <t>Time</t>
        </is>
      </c>
      <c r="D215" s="48" t="inlineStr">
        <is>
          <t>New</t>
        </is>
      </c>
      <c r="E215" s="17" t="inlineStr">
        <is>
          <t>12b</t>
        </is>
      </c>
      <c r="F215" s="13" t="inlineStr">
        <is>
          <t>With a proposal of 34m, change the figure to 20 and click Log it.</t>
        </is>
      </c>
      <c r="G215" s="13" t="inlineStr">
        <is>
          <t>A 20-minute entry is created, not 34 - the analyst decides what was really spent.</t>
        </is>
      </c>
      <c r="H215" s="18" t="inlineStr">
        <is>
          <t>Not run</t>
        </is>
      </c>
      <c r="I215" s="18" t="n"/>
      <c r="J215" s="18" t="n"/>
      <c r="K215" s="19" t="n"/>
    </row>
    <row r="216">
      <c r="A216" s="13" t="inlineStr">
        <is>
          <t>27 Time tracking</t>
        </is>
      </c>
      <c r="B216" s="14" t="inlineStr">
        <is>
          <t>S27-14</t>
        </is>
      </c>
      <c r="C216" s="15" t="inlineStr">
        <is>
          <t>Time</t>
        </is>
      </c>
      <c r="D216" s="48" t="inlineStr">
        <is>
          <t>New</t>
        </is>
      </c>
      <c r="E216" s="17" t="inlineStr">
        <is>
          <t>12b</t>
        </is>
      </c>
      <c r="F216" s="13" t="inlineStr">
        <is>
          <t>With a proposal showing, click Discard, then keep working on the ticket for less than the minimum.</t>
        </is>
      </c>
      <c r="G216" s="13" t="inlineStr">
        <is>
          <t>Nothing is written to ticket_time_entries, the proposal clears, and the discarded seconds are not offered again.</t>
        </is>
      </c>
      <c r="H216" s="18" t="inlineStr">
        <is>
          <t>Not run</t>
        </is>
      </c>
      <c r="I216" s="18" t="n"/>
      <c r="J216" s="18" t="n"/>
      <c r="K216" s="19" t="n"/>
    </row>
    <row r="217">
      <c r="A217" s="13" t="inlineStr">
        <is>
          <t>27 Time tracking</t>
        </is>
      </c>
      <c r="B217" s="14" t="inlineStr">
        <is>
          <t>S27-15</t>
        </is>
      </c>
      <c r="C217" s="15" t="inlineStr">
        <is>
          <t>Time</t>
        </is>
      </c>
      <c r="D217" s="48" t="inlineStr">
        <is>
          <t>New</t>
        </is>
      </c>
      <c r="E217" s="17" t="inlineStr">
        <is>
          <t>12b</t>
        </is>
      </c>
      <c r="F217" s="13" t="inlineStr">
        <is>
          <t>Have two analysts open the SAME ticket on different machines and work in it for 3 minutes each.</t>
        </is>
      </c>
      <c r="G217" s="13" t="inlineStr">
        <is>
          <t>check-view-time.php shows two separate sessions, one per analyst, each with its own seconds. Neither sees the other's proposal - they are both spending time on it.</t>
        </is>
      </c>
      <c r="H217" s="18" t="inlineStr">
        <is>
          <t>Not run</t>
        </is>
      </c>
      <c r="I217" s="18" t="n"/>
      <c r="J217" s="18" t="n"/>
      <c r="K217" s="19" t="n"/>
    </row>
    <row r="218">
      <c r="A218" s="13" t="inlineStr">
        <is>
          <t>27 Time tracking</t>
        </is>
      </c>
      <c r="B218" s="14" t="inlineStr">
        <is>
          <t>S27-16</t>
        </is>
      </c>
      <c r="C218" s="15" t="inlineStr">
        <is>
          <t>Time</t>
        </is>
      </c>
      <c r="D218" s="48" t="inlineStr">
        <is>
          <t>New</t>
        </is>
      </c>
      <c r="E218" s="17" t="inlineStr">
        <is>
          <t>12b</t>
        </is>
      </c>
      <c r="F218" s="13" t="inlineStr">
        <is>
          <t>As one analyst, open the same ticket in two tabs and work in only one of them for 3 minutes.</t>
        </is>
      </c>
      <c r="G218" s="13" t="inlineStr">
        <is>
          <t>Only the visible tab beats. The total reflects real elapsed focused time rather than double.</t>
        </is>
      </c>
      <c r="H218" s="18" t="inlineStr">
        <is>
          <t>Not run</t>
        </is>
      </c>
      <c r="I218" s="18" t="n"/>
      <c r="J218" s="18" t="n"/>
      <c r="K218" s="19" t="n"/>
    </row>
    <row r="219">
      <c r="A219" s="13" t="inlineStr">
        <is>
          <t>27 Time tracking</t>
        </is>
      </c>
      <c r="B219" s="14" t="inlineStr">
        <is>
          <t>S27-17</t>
        </is>
      </c>
      <c r="C219" s="15" t="inlineStr">
        <is>
          <t>Time</t>
        </is>
      </c>
      <c r="D219" s="48" t="inlineStr">
        <is>
          <t>New</t>
        </is>
      </c>
      <c r="E219" s="17" t="inlineStr">
        <is>
          <t>12b</t>
        </is>
      </c>
      <c r="F219" s="13" t="inlineStr">
        <is>
          <t>With a ticket open in the reading pane, move it to the trash, then leave the browser focused but idle for 3 minutes.</t>
        </is>
      </c>
      <c r="G219" s="13" t="inlineStr">
        <is>
          <t>REGRESSION: no further time accrues against the trashed ticket - the timer stops when the pane stops showing it.</t>
        </is>
      </c>
      <c r="H219" s="18" t="inlineStr">
        <is>
          <t>Not run</t>
        </is>
      </c>
      <c r="I219" s="18" t="n"/>
      <c r="J219" s="18" t="n"/>
      <c r="K219" s="19" t="n"/>
    </row>
    <row r="220">
      <c r="A220" s="13" t="inlineStr">
        <is>
          <t>27 Time tracking</t>
        </is>
      </c>
      <c r="B220" s="14" t="inlineStr">
        <is>
          <t>S27-18</t>
        </is>
      </c>
      <c r="C220" s="15" t="inlineStr">
        <is>
          <t>KPIs</t>
        </is>
      </c>
      <c r="D220" s="48" t="inlineStr">
        <is>
          <t>New</t>
        </is>
      </c>
      <c r="E220" s="17" t="inlineStr">
        <is>
          <t>12b</t>
        </is>
      </c>
      <c r="F220" s="13" t="inlineStr">
        <is>
          <t>Accept a tracked entry, then run cron/kpi_snapshot.php for the current period and open the KPI scorecard.</t>
        </is>
      </c>
      <c r="G220" s="13" t="inlineStr">
        <is>
          <t>Cost per ticket, utilisation, tickets per FTE, out-of-hours rate and average time per ticket all INCLUDE the tracked minutes. Accepted tracked time counts exactly like typed time.</t>
        </is>
      </c>
      <c r="H220" s="18" t="inlineStr">
        <is>
          <t>Not run</t>
        </is>
      </c>
      <c r="I220" s="18" t="n"/>
      <c r="J220" s="18" t="n"/>
      <c r="K220" s="19" t="n"/>
    </row>
    <row r="221">
      <c r="A221" s="13" t="inlineStr">
        <is>
          <t>27 Time tracking</t>
        </is>
      </c>
      <c r="B221" s="14" t="inlineStr">
        <is>
          <t>S27-19</t>
        </is>
      </c>
      <c r="C221" s="15" t="inlineStr">
        <is>
          <t>KPIs</t>
        </is>
      </c>
      <c r="D221" s="48" t="inlineStr">
        <is>
          <t>New</t>
        </is>
      </c>
      <c r="E221" s="17" t="inlineStr">
        <is>
          <t>12b</t>
        </is>
      </c>
      <c r="F221" s="13" t="inlineStr">
        <is>
          <t>Export the ticket time data for a ticket holding one typed and one tracked entry.</t>
        </is>
      </c>
      <c r="G221" s="13" t="inlineStr">
        <is>
          <t>The source column reads manual and auto respectively. Both contribute to the KPI totals - source is a label for reporting, not a filter.</t>
        </is>
      </c>
      <c r="H221" s="18" t="inlineStr">
        <is>
          <t>Not run</t>
        </is>
      </c>
      <c r="I221" s="18" t="n"/>
      <c r="J221" s="18" t="n"/>
      <c r="K221" s="19" t="n"/>
    </row>
    <row r="222">
      <c r="A222" s="13" t="inlineStr">
        <is>
          <t>27 Time tracking</t>
        </is>
      </c>
      <c r="B222" s="14" t="inlineStr">
        <is>
          <t>S27-20</t>
        </is>
      </c>
      <c r="C222" s="15" t="inlineStr">
        <is>
          <t>Time</t>
        </is>
      </c>
      <c r="D222" s="48" t="inlineStr">
        <is>
          <t>New</t>
        </is>
      </c>
      <c r="E222" s="17" t="inlineStr">
        <is>
          <t>12b</t>
        </is>
      </c>
      <c r="F222" s="13" t="inlineStr">
        <is>
          <t>On an install still holding time_auto_min_minutes=2 and no time_auto_min_seconds, deploy the code but do NOT run Database Verify. Run check-view-time.php.</t>
        </is>
      </c>
      <c r="G222" s="13" t="inlineStr">
        <is>
          <t>It reports a 120s floor carried over from the old setting and names Database Verify as the way to reach the 30s default. The threshold does not change silently on deploy.</t>
        </is>
      </c>
      <c r="H222" s="18" t="inlineStr">
        <is>
          <t>Not run</t>
        </is>
      </c>
      <c r="I222" s="18" t="n"/>
      <c r="J222" s="18" t="n"/>
      <c r="K222" s="19" t="n"/>
    </row>
    <row r="223">
      <c r="A223" s="13" t="inlineStr">
        <is>
          <t>27 Time tracking</t>
        </is>
      </c>
      <c r="B223" s="14" t="inlineStr">
        <is>
          <t>S27-21</t>
        </is>
      </c>
      <c r="C223" s="15" t="inlineStr">
        <is>
          <t>Time</t>
        </is>
      </c>
      <c r="D223" s="48" t="inlineStr">
        <is>
          <t>New</t>
        </is>
      </c>
      <c r="E223" s="17" t="inlineStr">
        <is>
          <t>12b</t>
        </is>
      </c>
      <c r="F223" s="13" t="inlineStr">
        <is>
          <t>After Database Verify, work a ticket for about 40 seconds in one sitting.</t>
        </is>
      </c>
      <c r="G223" s="13" t="inlineStr">
        <is>
          <t>A 1-minute proposal is offered. The floor is 30 seconds, compared against real seconds rather than rounded minutes.</t>
        </is>
      </c>
      <c r="H223" s="18" t="inlineStr">
        <is>
          <t>Not run</t>
        </is>
      </c>
      <c r="I223" s="18" t="n"/>
      <c r="J223" s="18" t="n"/>
      <c r="K223" s="19" t="n"/>
    </row>
    <row r="224">
      <c r="A224" s="13" t="inlineStr">
        <is>
          <t>28 Categories &amp; types</t>
        </is>
      </c>
      <c r="B224" s="14" t="inlineStr">
        <is>
          <t>S28-01</t>
        </is>
      </c>
      <c r="C224" s="15" t="inlineStr">
        <is>
          <t>Environment</t>
        </is>
      </c>
      <c r="D224" s="48" t="inlineStr">
        <is>
          <t>Setup</t>
        </is>
      </c>
      <c r="E224" s="17" t="inlineStr">
        <is>
          <t>12c</t>
        </is>
      </c>
      <c r="F224" s="13" t="inlineStr">
        <is>
          <t>Run Database Verify, then open Tickets &gt; Settings &gt; Ticket types and &gt; Categories.</t>
        </is>
      </c>
      <c r="G224" s="13" t="inlineStr">
        <is>
          <t>ticket_categories.ticket_type_id exists with its index and FK. Incident, Service Request, Question AND Event are listed. Every pre-existing category reads 'Every ticket type'.</t>
        </is>
      </c>
      <c r="H224" s="18" t="inlineStr">
        <is>
          <t>Not run</t>
        </is>
      </c>
      <c r="I224" s="18" t="n"/>
      <c r="J224" s="18" t="n"/>
      <c r="K224" s="19" t="n"/>
    </row>
    <row r="225">
      <c r="A225" s="13" t="inlineStr">
        <is>
          <t>28 Categories &amp; types</t>
        </is>
      </c>
      <c r="B225" s="14" t="inlineStr">
        <is>
          <t>S28-02</t>
        </is>
      </c>
      <c r="C225" s="15" t="inlineStr">
        <is>
          <t>Settings</t>
        </is>
      </c>
      <c r="D225" s="48" t="inlineStr">
        <is>
          <t>New</t>
        </is>
      </c>
      <c r="E225" s="17" t="inlineStr">
        <is>
          <t>12c</t>
        </is>
      </c>
      <c r="F225" s="13" t="inlineStr">
        <is>
          <t>Delete the Event ticket type, then run Database Verify again.</t>
        </is>
      </c>
      <c r="G225" s="13" t="inlineStr">
        <is>
          <t>Event stays deleted. The seed is guarded by a one-shot marker, so a deliberately removed type is not restored on every verify.</t>
        </is>
      </c>
      <c r="H225" s="18" t="inlineStr">
        <is>
          <t>Not run</t>
        </is>
      </c>
      <c r="I225" s="18" t="n"/>
      <c r="J225" s="18" t="n"/>
      <c r="K225" s="19" t="n"/>
    </row>
    <row r="226">
      <c r="A226" s="13" t="inlineStr">
        <is>
          <t>28 Categories &amp; types</t>
        </is>
      </c>
      <c r="B226" s="14" t="inlineStr">
        <is>
          <t>S28-03</t>
        </is>
      </c>
      <c r="C226" s="15" t="inlineStr">
        <is>
          <t>Settings</t>
        </is>
      </c>
      <c r="D226" s="48" t="inlineStr">
        <is>
          <t>New</t>
        </is>
      </c>
      <c r="E226" s="17" t="inlineStr">
        <is>
          <t>12c</t>
        </is>
      </c>
      <c r="F226" s="13" t="inlineStr">
        <is>
          <t>Edit a category, set 'Available on' to Incident, save, and reopen the list.</t>
        </is>
      </c>
      <c r="G226" s="13" t="inlineStr">
        <is>
          <t>The Ticket type column shows Incident by NAME, not an id. Setting it back to 'Every ticket type' widens it again.</t>
        </is>
      </c>
      <c r="H226" s="18" t="inlineStr">
        <is>
          <t>Not run</t>
        </is>
      </c>
      <c r="I226" s="18" t="n"/>
      <c r="J226" s="18" t="n"/>
      <c r="K226" s="19" t="n"/>
    </row>
    <row r="227">
      <c r="A227" s="13" t="inlineStr">
        <is>
          <t>28 Categories &amp; types</t>
        </is>
      </c>
      <c r="B227" s="14" t="inlineStr">
        <is>
          <t>S28-04</t>
        </is>
      </c>
      <c r="C227" s="15" t="inlineStr">
        <is>
          <t>Settings</t>
        </is>
      </c>
      <c r="D227" s="48" t="inlineStr">
        <is>
          <t>New</t>
        </is>
      </c>
      <c r="E227" s="17" t="inlineStr">
        <is>
          <t>12c</t>
        </is>
      </c>
      <c r="F227" s="13" t="inlineStr">
        <is>
          <t>Open the add/edit modal for a department, a ticket type, a status and a priority in turn.</t>
        </is>
      </c>
      <c r="G227" s="13" t="inlineStr">
        <is>
          <t>The 'Available on' picker appears only for categories - nothing else can belong to a ticket type.</t>
        </is>
      </c>
      <c r="H227" s="18" t="inlineStr">
        <is>
          <t>Not run</t>
        </is>
      </c>
      <c r="I227" s="18" t="n"/>
      <c r="J227" s="18" t="n"/>
      <c r="K227" s="19" t="n"/>
    </row>
    <row r="228">
      <c r="A228" s="13" t="inlineStr">
        <is>
          <t>28 Categories &amp; types</t>
        </is>
      </c>
      <c r="B228" s="14" t="inlineStr">
        <is>
          <t>S28-05</t>
        </is>
      </c>
      <c r="C228" s="15" t="inlineStr">
        <is>
          <t>Tickets</t>
        </is>
      </c>
      <c r="D228" s="48" t="inlineStr">
        <is>
          <t>New</t>
        </is>
      </c>
      <c r="E228" s="17" t="inlineStr">
        <is>
          <t>12c</t>
        </is>
      </c>
      <c r="F228" s="13" t="inlineStr">
        <is>
          <t>On a Service Request ticket, open the Category dropdown while a category scoped to Incident exists.</t>
        </is>
      </c>
      <c r="G228" s="13" t="inlineStr">
        <is>
          <t>The Incident-only category is absent; every unscoped category is still offered.</t>
        </is>
      </c>
      <c r="H228" s="18" t="inlineStr">
        <is>
          <t>Not run</t>
        </is>
      </c>
      <c r="I228" s="18" t="n"/>
      <c r="J228" s="18" t="n"/>
      <c r="K228" s="19" t="n"/>
    </row>
    <row r="229">
      <c r="A229" s="13" t="inlineStr">
        <is>
          <t>28 Categories &amp; types</t>
        </is>
      </c>
      <c r="B229" s="14" t="inlineStr">
        <is>
          <t>S28-06</t>
        </is>
      </c>
      <c r="C229" s="15" t="inlineStr">
        <is>
          <t>Tickets</t>
        </is>
      </c>
      <c r="D229" s="48" t="inlineStr">
        <is>
          <t>New</t>
        </is>
      </c>
      <c r="E229" s="17" t="inlineStr">
        <is>
          <t>12c</t>
        </is>
      </c>
      <c r="F229" s="13" t="inlineStr">
        <is>
          <t>Change that ticket's type from Service Request to Incident and reopen the Category dropdown.</t>
        </is>
      </c>
      <c r="G229" s="13" t="inlineStr">
        <is>
          <t>The Incident-only category is now offered, without a page reload.</t>
        </is>
      </c>
      <c r="H229" s="18" t="inlineStr">
        <is>
          <t>Not run</t>
        </is>
      </c>
      <c r="I229" s="18" t="n"/>
      <c r="J229" s="18" t="n"/>
      <c r="K229" s="19" t="n"/>
    </row>
    <row r="230">
      <c r="A230" s="13" t="inlineStr">
        <is>
          <t>28 Categories &amp; types</t>
        </is>
      </c>
      <c r="B230" s="14" t="inlineStr">
        <is>
          <t>S28-07</t>
        </is>
      </c>
      <c r="C230" s="15" t="inlineStr">
        <is>
          <t>Tickets</t>
        </is>
      </c>
      <c r="D230" s="48" t="inlineStr">
        <is>
          <t>New</t>
        </is>
      </c>
      <c r="E230" s="17" t="inlineStr">
        <is>
          <t>12c</t>
        </is>
      </c>
      <c r="F230" s="13" t="inlineStr">
        <is>
          <t>On an Incident ticket carrying an Incident-only category and a subcategory beneath it, change the type to Question.</t>
        </is>
      </c>
      <c r="G230" s="13" t="inlineStr">
        <is>
          <t>The category and subcategory both clear, and a toast names the category and the new type. A field that empties itself is explained rather than silent.</t>
        </is>
      </c>
      <c r="H230" s="18" t="inlineStr">
        <is>
          <t>Not run</t>
        </is>
      </c>
      <c r="I230" s="18" t="n"/>
      <c r="J230" s="18" t="n"/>
      <c r="K230" s="19" t="n"/>
    </row>
    <row r="231">
      <c r="A231" s="13" t="inlineStr">
        <is>
          <t>28 Categories &amp; types</t>
        </is>
      </c>
      <c r="B231" s="14" t="inlineStr">
        <is>
          <t>S28-08</t>
        </is>
      </c>
      <c r="C231" s="15" t="inlineStr">
        <is>
          <t>Audit</t>
        </is>
      </c>
      <c r="D231" s="48" t="inlineStr">
        <is>
          <t>New</t>
        </is>
      </c>
      <c r="E231" s="17" t="inlineStr">
        <is>
          <t>12c</t>
        </is>
      </c>
      <c r="F231" s="13" t="inlineStr">
        <is>
          <t>Open the audit trail for the ticket from the previous case.</t>
        </is>
      </c>
      <c r="G231" s="13" t="inlineStr">
        <is>
          <t>Three rows: the Ticket Type change, Category set to empty, and Subcategory set to empty.</t>
        </is>
      </c>
      <c r="H231" s="18" t="inlineStr">
        <is>
          <t>Not run</t>
        </is>
      </c>
      <c r="I231" s="18" t="n"/>
      <c r="J231" s="18" t="n"/>
      <c r="K231" s="19" t="n"/>
    </row>
    <row r="232">
      <c r="A232" s="13" t="inlineStr">
        <is>
          <t>28 Categories &amp; types</t>
        </is>
      </c>
      <c r="B232" s="14" t="inlineStr">
        <is>
          <t>S28-09</t>
        </is>
      </c>
      <c r="C232" s="15" t="inlineStr">
        <is>
          <t>Tickets</t>
        </is>
      </c>
      <c r="D232" s="48" t="inlineStr">
        <is>
          <t>New</t>
        </is>
      </c>
      <c r="E232" s="17" t="inlineStr">
        <is>
          <t>12c</t>
        </is>
      </c>
      <c r="F232" s="13" t="inlineStr">
        <is>
          <t>Via the REST API, PATCH a ticket setting ticket_type_id to Question AND category_id to an Incident-only category in the same call.</t>
        </is>
      </c>
      <c r="G232" s="13" t="inlineStr">
        <is>
          <t>Refused with 'That category is not available for the selected ticket type.' Nothing is written. A named mismatch is a mistake; only a type change UNDER an existing category clears it.</t>
        </is>
      </c>
      <c r="H232" s="18" t="inlineStr">
        <is>
          <t>Not run</t>
        </is>
      </c>
      <c r="I232" s="18" t="n"/>
      <c r="J232" s="18" t="n"/>
      <c r="K232" s="19" t="n"/>
    </row>
    <row r="233">
      <c r="A233" s="13" t="inlineStr">
        <is>
          <t>28 Categories &amp; types</t>
        </is>
      </c>
      <c r="B233" s="14" t="inlineStr">
        <is>
          <t>S28-10</t>
        </is>
      </c>
      <c r="C233" s="15" t="inlineStr">
        <is>
          <t>Tickets</t>
        </is>
      </c>
      <c r="D233" s="48" t="inlineStr">
        <is>
          <t>New</t>
        </is>
      </c>
      <c r="E233" s="17" t="inlineStr">
        <is>
          <t>12c</t>
        </is>
      </c>
      <c r="F233" s="13" t="inlineStr">
        <is>
          <t>Via the REST API, create a ticket with type Question and an Incident-only category.</t>
        </is>
      </c>
      <c r="G233" s="13" t="inlineStr">
        <is>
          <t>Creation is refused with the same message - on create there is nothing to salvage.</t>
        </is>
      </c>
      <c r="H233" s="18" t="inlineStr">
        <is>
          <t>Not run</t>
        </is>
      </c>
      <c r="I233" s="18" t="n"/>
      <c r="J233" s="18" t="n"/>
      <c r="K233" s="19" t="n"/>
    </row>
    <row r="234">
      <c r="A234" s="13" t="inlineStr">
        <is>
          <t>28 Categories &amp; types</t>
        </is>
      </c>
      <c r="B234" s="14" t="inlineStr">
        <is>
          <t>S28-11</t>
        </is>
      </c>
      <c r="C234" s="15" t="inlineStr">
        <is>
          <t>Tickets</t>
        </is>
      </c>
      <c r="D234" s="48" t="inlineStr">
        <is>
          <t>New</t>
        </is>
      </c>
      <c r="E234" s="17" t="inlineStr">
        <is>
          <t>12c</t>
        </is>
      </c>
      <c r="F234" s="13" t="inlineStr">
        <is>
          <t>Open New Ticket, choose Incident, select an Incident-only category, then change the type to Question.</t>
        </is>
      </c>
      <c r="G234" s="13" t="inlineStr">
        <is>
          <t>The category list re-narrows and the selection is dropped with a message saying it is not available for this ticket type.</t>
        </is>
      </c>
      <c r="H234" s="18" t="inlineStr">
        <is>
          <t>Not run</t>
        </is>
      </c>
      <c r="I234" s="18" t="n"/>
      <c r="J234" s="18" t="n"/>
      <c r="K234" s="19" t="n"/>
    </row>
    <row r="235">
      <c r="A235" s="13" t="inlineStr">
        <is>
          <t>28 Categories &amp; types</t>
        </is>
      </c>
      <c r="B235" s="14" t="inlineStr">
        <is>
          <t>S28-12</t>
        </is>
      </c>
      <c r="C235" s="15" t="inlineStr">
        <is>
          <t>Import</t>
        </is>
      </c>
      <c r="D235" s="48" t="inlineStr">
        <is>
          <t>New</t>
        </is>
      </c>
      <c r="E235" s="17" t="inlineStr">
        <is>
          <t>12c</t>
        </is>
      </c>
      <c r="F235" s="13" t="inlineStr">
        <is>
          <t>Import a ticket CSV with one row naming ticket_type 'Question' and category '&lt;an Incident-only category&gt;'.</t>
        </is>
      </c>
      <c r="G235" s="13" t="inlineStr">
        <is>
          <t>That row is reported as an error naming the row number and the pairing; the other rows import. Nothing is committed for the bad row.</t>
        </is>
      </c>
      <c r="H235" s="18" t="inlineStr">
        <is>
          <t>Not run</t>
        </is>
      </c>
      <c r="I235" s="18" t="n"/>
      <c r="J235" s="18" t="n"/>
      <c r="K235" s="19" t="n"/>
    </row>
    <row r="236">
      <c r="A236" s="13" t="inlineStr">
        <is>
          <t>28 Categories &amp; types</t>
        </is>
      </c>
      <c r="B236" s="14" t="inlineStr">
        <is>
          <t>S28-13</t>
        </is>
      </c>
      <c r="C236" s="15" t="inlineStr">
        <is>
          <t>Import</t>
        </is>
      </c>
      <c r="D236" s="48" t="inlineStr">
        <is>
          <t>New</t>
        </is>
      </c>
      <c r="E236" s="17" t="inlineStr">
        <is>
          <t>12c</t>
        </is>
      </c>
      <c r="F236" s="13" t="inlineStr">
        <is>
          <t>Import a row that updates ticket_type but names no category at all.</t>
        </is>
      </c>
      <c r="G236" s="13" t="inlineStr">
        <is>
          <t>It imports without a pairing error - the check only judges what the row itself supplies, so it does not cost a query per row on a large file.</t>
        </is>
      </c>
      <c r="H236" s="18" t="inlineStr">
        <is>
          <t>Not run</t>
        </is>
      </c>
      <c r="I236" s="18" t="n"/>
      <c r="J236" s="18" t="n"/>
      <c r="K236" s="19" t="n"/>
    </row>
    <row r="237">
      <c r="A237" s="13" t="inlineStr">
        <is>
          <t>28 Categories &amp; types</t>
        </is>
      </c>
      <c r="B237" s="14" t="inlineStr">
        <is>
          <t>S28-14</t>
        </is>
      </c>
      <c r="C237" s="15" t="inlineStr">
        <is>
          <t>Settings</t>
        </is>
      </c>
      <c r="D237" s="48" t="inlineStr">
        <is>
          <t>New</t>
        </is>
      </c>
      <c r="E237" s="17" t="inlineStr">
        <is>
          <t>12c</t>
        </is>
      </c>
      <c r="F237" s="13" t="inlineStr">
        <is>
          <t>Scope a category to a disposable ticket type, then delete that ticket type.</t>
        </is>
      </c>
      <c r="G237" s="13" t="inlineStr">
        <is>
          <t>The category survives and reads 'Every ticket type'. Deleting a type widens its categories (SET NULL) rather than destroying work.</t>
        </is>
      </c>
      <c r="H237" s="18" t="inlineStr">
        <is>
          <t>Not run</t>
        </is>
      </c>
      <c r="I237" s="18" t="n"/>
      <c r="J237" s="18" t="n"/>
      <c r="K237" s="19" t="n"/>
    </row>
    <row r="238">
      <c r="A238" s="13" t="inlineStr">
        <is>
          <t>28 Categories &amp; types</t>
        </is>
      </c>
      <c r="B238" s="14" t="inlineStr">
        <is>
          <t>S28-15</t>
        </is>
      </c>
      <c r="C238" s="15" t="inlineStr">
        <is>
          <t>Reporting</t>
        </is>
      </c>
      <c r="D238" s="48" t="inlineStr">
        <is>
          <t>Mixed</t>
        </is>
      </c>
      <c r="E238" s="17" t="inlineStr">
        <is>
          <t>12c</t>
        </is>
      </c>
      <c r="F238" s="13" t="inlineStr">
        <is>
          <t>Filter the ticket list by a scoped category, then run a report grouped by category.</t>
        </is>
      </c>
      <c r="G238" s="13" t="inlineStr">
        <is>
          <t>Both behave exactly as before. Filtering and grouping are by category, never by type scope.</t>
        </is>
      </c>
      <c r="H238" s="18" t="inlineStr">
        <is>
          <t>Not run</t>
        </is>
      </c>
      <c r="I238" s="18" t="n"/>
      <c r="J238" s="18" t="n"/>
      <c r="K238" s="19" t="n"/>
    </row>
    <row r="239">
      <c r="A239" s="13" t="inlineStr">
        <is>
          <t>28 Categories &amp; types</t>
        </is>
      </c>
      <c r="B239" s="14" t="inlineStr">
        <is>
          <t>S28-16</t>
        </is>
      </c>
      <c r="C239" s="15" t="inlineStr">
        <is>
          <t>Self-service</t>
        </is>
      </c>
      <c r="D239" s="48" t="inlineStr">
        <is>
          <t>Mixed</t>
        </is>
      </c>
      <c r="E239" s="17" t="inlineStr">
        <is>
          <t>12c</t>
        </is>
      </c>
      <c r="F239" s="13" t="inlineStr">
        <is>
          <t>Raise a request through the self-service catalogue for an item mapped to a scoped category.</t>
        </is>
      </c>
      <c r="G239" s="13" t="inlineStr">
        <is>
          <t>The ticket is created with that category and no conflict - portal tickets set no ticket type, so nothing can clash.</t>
        </is>
      </c>
      <c r="H239" s="18" t="inlineStr">
        <is>
          <t>Not run</t>
        </is>
      </c>
      <c r="I239" s="18" t="n"/>
      <c r="J239" s="18" t="n"/>
      <c r="K239" s="19" t="n"/>
    </row>
    <row r="240">
      <c r="A240" s="13" t="inlineStr">
        <is>
          <t>28 Categories &amp; types</t>
        </is>
      </c>
      <c r="B240" s="14" t="inlineStr">
        <is>
          <t>S28-17</t>
        </is>
      </c>
      <c r="C240" s="15" t="inlineStr">
        <is>
          <t>Import</t>
        </is>
      </c>
      <c r="D240" s="48" t="inlineStr">
        <is>
          <t>Mixed</t>
        </is>
      </c>
      <c r="E240" s="17" t="inlineStr">
        <is>
          <t>12c</t>
        </is>
      </c>
      <c r="F240" s="13" t="inlineStr">
        <is>
          <t>Run a migration that creates category lookups from a source file.</t>
        </is>
      </c>
      <c r="G240" s="13" t="inlineStr">
        <is>
          <t>New categories are created unscoped, so migrated tickets of any type keep them.</t>
        </is>
      </c>
      <c r="H240" s="18" t="inlineStr">
        <is>
          <t>Not run</t>
        </is>
      </c>
      <c r="I240" s="18" t="n"/>
      <c r="J240" s="18" t="n"/>
      <c r="K240" s="19" t="n"/>
    </row>
    <row r="241">
      <c r="A241" s="13" t="inlineStr">
        <is>
          <t>28 Categories &amp; types</t>
        </is>
      </c>
      <c r="B241" s="14" t="inlineStr">
        <is>
          <t>S28-18</t>
        </is>
      </c>
      <c r="C241" s="15" t="inlineStr">
        <is>
          <t>Tickets</t>
        </is>
      </c>
      <c r="D241" s="48" t="inlineStr">
        <is>
          <t>New</t>
        </is>
      </c>
      <c r="E241" s="17" t="inlineStr">
        <is>
          <t>12c</t>
        </is>
      </c>
      <c r="F241" s="13" t="inlineStr">
        <is>
          <t>Deploy the code but do NOT run Database Verify. Open a ticket, change its type, and open the category picker.</t>
        </is>
      </c>
      <c r="G241" s="13" t="inlineStr">
        <is>
          <t>Every category is offered on every type, nothing errors and no category is cleared - scoping stays inert until the column exists.</t>
        </is>
      </c>
      <c r="H241" s="18" t="inlineStr">
        <is>
          <t>Not run</t>
        </is>
      </c>
      <c r="I241" s="18" t="n"/>
      <c r="J241" s="18" t="n"/>
      <c r="K241" s="19" t="n"/>
    </row>
    <row r="242">
      <c r="A242" s="13" t="inlineStr">
        <is>
          <t>29 Customer contacts</t>
        </is>
      </c>
      <c r="B242" s="14" t="inlineStr">
        <is>
          <t>S29-01</t>
        </is>
      </c>
      <c r="C242" s="15" t="inlineStr">
        <is>
          <t>Environment</t>
        </is>
      </c>
      <c r="D242" s="48" t="inlineStr">
        <is>
          <t>Setup</t>
        </is>
      </c>
      <c r="E242" s="17" t="inlineStr">
        <is>
          <t>13a</t>
        </is>
      </c>
      <c r="F242" s="13" t="inlineStr">
        <is>
          <t>Run Database Verify on an install whose customers have contact_name / contact_email / contact_phone filled in, and read the output.</t>
        </is>
      </c>
      <c r="G242" s="13" t="inlineStr">
        <is>
          <t>customer_contacts and tickets.customer_contact_id are created, and a line reports how many customer contacts were migrated in as defaults. The count matches the number of customers that had contact details.</t>
        </is>
      </c>
      <c r="H242" s="18" t="inlineStr">
        <is>
          <t>Not run</t>
        </is>
      </c>
      <c r="I242" s="18" t="n"/>
      <c r="J242" s="18" t="n"/>
      <c r="K242" s="19" t="n"/>
    </row>
    <row r="243">
      <c r="A243" s="13" t="inlineStr">
        <is>
          <t>29 Customer contacts</t>
        </is>
      </c>
      <c r="B243" s="14" t="inlineStr">
        <is>
          <t>S29-02</t>
        </is>
      </c>
      <c r="C243" s="15" t="inlineStr">
        <is>
          <t>Environment</t>
        </is>
      </c>
      <c r="D243" s="48" t="inlineStr">
        <is>
          <t>New</t>
        </is>
      </c>
      <c r="E243" s="17" t="inlineStr">
        <is>
          <t>13a</t>
        </is>
      </c>
      <c r="F243" s="13" t="inlineStr">
        <is>
          <t>Run Database Verify a second time, then delete one customer's only contact and run it a third time.</t>
        </is>
      </c>
      <c r="G243" s="13" t="inlineStr">
        <is>
          <t>No duplicates are created, and the deleted contact is NOT resurrected - the migration only ever touches a customer with no contacts at all.</t>
        </is>
      </c>
      <c r="H243" s="18" t="inlineStr">
        <is>
          <t>Not run</t>
        </is>
      </c>
      <c r="I243" s="18" t="n"/>
      <c r="J243" s="18" t="n"/>
      <c r="K243" s="19" t="n"/>
    </row>
    <row r="244">
      <c r="A244" s="13" t="inlineStr">
        <is>
          <t>29 Customer contacts</t>
        </is>
      </c>
      <c r="B244" s="14" t="inlineStr">
        <is>
          <t>S29-03</t>
        </is>
      </c>
      <c r="C244" s="15" t="inlineStr">
        <is>
          <t>Customers</t>
        </is>
      </c>
      <c r="D244" s="48" t="inlineStr">
        <is>
          <t>New</t>
        </is>
      </c>
      <c r="E244" s="17" t="inlineStr">
        <is>
          <t>13a</t>
        </is>
      </c>
      <c r="F244" s="13" t="inlineStr">
        <is>
          <t>Check a customer that had all three contact fields empty before the migration.</t>
        </is>
      </c>
      <c r="G244" s="13" t="inlineStr">
        <is>
          <t>It has no contacts and no nameless placeholder row.</t>
        </is>
      </c>
      <c r="H244" s="18" t="inlineStr">
        <is>
          <t>Not run</t>
        </is>
      </c>
      <c r="I244" s="18" t="n"/>
      <c r="J244" s="18" t="n"/>
      <c r="K244" s="19" t="n"/>
    </row>
    <row r="245">
      <c r="A245" s="13" t="inlineStr">
        <is>
          <t>29 Customer contacts</t>
        </is>
      </c>
      <c r="B245" s="14" t="inlineStr">
        <is>
          <t>S29-04</t>
        </is>
      </c>
      <c r="C245" s="15" t="inlineStr">
        <is>
          <t>Customers</t>
        </is>
      </c>
      <c r="D245" s="48" t="inlineStr">
        <is>
          <t>New</t>
        </is>
      </c>
      <c r="E245" s="17" t="inlineStr">
        <is>
          <t>13a</t>
        </is>
      </c>
      <c r="F245" s="13" t="inlineStr">
        <is>
          <t>Open a customer with several contacts.</t>
        </is>
      </c>
      <c r="G245" s="13" t="inlineStr">
        <is>
          <t>The Contacts panel lists each with name, job title, email and phone, and exactly one carries a Default badge.</t>
        </is>
      </c>
      <c r="H245" s="18" t="inlineStr">
        <is>
          <t>Not run</t>
        </is>
      </c>
      <c r="I245" s="18" t="n"/>
      <c r="J245" s="18" t="n"/>
      <c r="K245" s="19" t="n"/>
    </row>
    <row r="246">
      <c r="A246" s="13" t="inlineStr">
        <is>
          <t>29 Customer contacts</t>
        </is>
      </c>
      <c r="B246" s="14" t="inlineStr">
        <is>
          <t>S29-05</t>
        </is>
      </c>
      <c r="C246" s="15" t="inlineStr">
        <is>
          <t>Customers</t>
        </is>
      </c>
      <c r="D246" s="48" t="inlineStr">
        <is>
          <t>New</t>
        </is>
      </c>
      <c r="E246" s="17" t="inlineStr">
        <is>
          <t>13a</t>
        </is>
      </c>
      <c r="F246" s="13" t="inlineStr">
        <is>
          <t>On a customer with no contacts, add one WITHOUT ticking Default.</t>
        </is>
      </c>
      <c r="G246" s="13" t="inlineStr">
        <is>
          <t>It is created and made default anyway, and the customer's contact fields mirror it. A customer with contacts and no default would stop mirroring.</t>
        </is>
      </c>
      <c r="H246" s="18" t="inlineStr">
        <is>
          <t>Not run</t>
        </is>
      </c>
      <c r="I246" s="18" t="n"/>
      <c r="J246" s="18" t="n"/>
      <c r="K246" s="19" t="n"/>
    </row>
    <row r="247">
      <c r="A247" s="13" t="inlineStr">
        <is>
          <t>29 Customer contacts</t>
        </is>
      </c>
      <c r="B247" s="14" t="inlineStr">
        <is>
          <t>S29-06</t>
        </is>
      </c>
      <c r="C247" s="15" t="inlineStr">
        <is>
          <t>Customers</t>
        </is>
      </c>
      <c r="D247" s="48" t="inlineStr">
        <is>
          <t>New</t>
        </is>
      </c>
      <c r="E247" s="17" t="inlineStr">
        <is>
          <t>13a</t>
        </is>
      </c>
      <c r="F247" s="13" t="inlineStr">
        <is>
          <t>On a customer with two contacts, click Make default on the one that is not.</t>
        </is>
      </c>
      <c r="G247" s="13" t="inlineStr">
        <is>
          <t>The badge moves, exactly one contact is default, and the customer's contact_name / email / phone now show the NEW default's details.</t>
        </is>
      </c>
      <c r="H247" s="18" t="inlineStr">
        <is>
          <t>Not run</t>
        </is>
      </c>
      <c r="I247" s="18" t="n"/>
      <c r="J247" s="18" t="n"/>
      <c r="K247" s="19" t="n"/>
    </row>
    <row r="248">
      <c r="A248" s="13" t="inlineStr">
        <is>
          <t>29 Customer contacts</t>
        </is>
      </c>
      <c r="B248" s="14" t="inlineStr">
        <is>
          <t>S29-07</t>
        </is>
      </c>
      <c r="C248" s="15" t="inlineStr">
        <is>
          <t>Customers</t>
        </is>
      </c>
      <c r="D248" s="48" t="inlineStr">
        <is>
          <t>New</t>
        </is>
      </c>
      <c r="E248" s="17" t="inlineStr">
        <is>
          <t>13a</t>
        </is>
      </c>
      <c r="F248" s="13" t="inlineStr">
        <is>
          <t>Change the contact email on the customer FORM (not the panel), save, then open the Contacts panel.</t>
        </is>
      </c>
      <c r="G248" s="13" t="inlineStr">
        <is>
          <t>The default contact's email changed to match. The form's contact fields and the default contact are the same record - they do not drift apart.</t>
        </is>
      </c>
      <c r="H248" s="18" t="inlineStr">
        <is>
          <t>Not run</t>
        </is>
      </c>
      <c r="I248" s="18" t="n"/>
      <c r="J248" s="18" t="n"/>
      <c r="K248" s="19" t="n"/>
    </row>
    <row r="249">
      <c r="A249" s="13" t="inlineStr">
        <is>
          <t>29 Customer contacts</t>
        </is>
      </c>
      <c r="B249" s="14" t="inlineStr">
        <is>
          <t>S29-08</t>
        </is>
      </c>
      <c r="C249" s="15" t="inlineStr">
        <is>
          <t>Customers</t>
        </is>
      </c>
      <c r="D249" s="48" t="inlineStr">
        <is>
          <t>New</t>
        </is>
      </c>
      <c r="E249" s="17" t="inlineStr">
        <is>
          <t>13a</t>
        </is>
      </c>
      <c r="F249" s="13" t="inlineStr">
        <is>
          <t>Create a brand-new customer, filling in contact name and email. Save, then reopen it.</t>
        </is>
      </c>
      <c r="G249" s="13" t="inlineStr">
        <is>
          <t>A default contact exists carrying those details - the inline fields became its first contact.</t>
        </is>
      </c>
      <c r="H249" s="18" t="inlineStr">
        <is>
          <t>Not run</t>
        </is>
      </c>
      <c r="I249" s="18" t="n"/>
      <c r="J249" s="18" t="n"/>
      <c r="K249" s="19" t="n"/>
    </row>
    <row r="250">
      <c r="A250" s="13" t="inlineStr">
        <is>
          <t>29 Customer contacts</t>
        </is>
      </c>
      <c r="B250" s="14" t="inlineStr">
        <is>
          <t>S29-09</t>
        </is>
      </c>
      <c r="C250" s="15" t="inlineStr">
        <is>
          <t>Customers</t>
        </is>
      </c>
      <c r="D250" s="48" t="inlineStr">
        <is>
          <t>New</t>
        </is>
      </c>
      <c r="E250" s="17" t="inlineStr">
        <is>
          <t>13a</t>
        </is>
      </c>
      <c r="F250" s="13" t="inlineStr">
        <is>
          <t>Delete the default contact from a customer that has three.</t>
        </is>
      </c>
      <c r="G250" s="13" t="inlineStr">
        <is>
          <t>One of the remaining contacts becomes default and the mirror updates to match it.</t>
        </is>
      </c>
      <c r="H250" s="18" t="inlineStr">
        <is>
          <t>Not run</t>
        </is>
      </c>
      <c r="I250" s="18" t="n"/>
      <c r="J250" s="18" t="n"/>
      <c r="K250" s="19" t="n"/>
    </row>
    <row r="251">
      <c r="A251" s="13" t="inlineStr">
        <is>
          <t>29 Customer contacts</t>
        </is>
      </c>
      <c r="B251" s="14" t="inlineStr">
        <is>
          <t>S29-10</t>
        </is>
      </c>
      <c r="C251" s="15" t="inlineStr">
        <is>
          <t>Customers</t>
        </is>
      </c>
      <c r="D251" s="48" t="inlineStr">
        <is>
          <t>New</t>
        </is>
      </c>
      <c r="E251" s="17" t="inlineStr">
        <is>
          <t>13a</t>
        </is>
      </c>
      <c r="F251" s="13" t="inlineStr">
        <is>
          <t>Delete the ONLY contact a customer has.</t>
        </is>
      </c>
      <c r="G251" s="13" t="inlineStr">
        <is>
          <t>The customer's contact_name / email / phone are NOT blanked. A customer that has lost its last contact does not also lose the details every export still reads.</t>
        </is>
      </c>
      <c r="H251" s="18" t="inlineStr">
        <is>
          <t>Not run</t>
        </is>
      </c>
      <c r="I251" s="18" t="n"/>
      <c r="J251" s="18" t="n"/>
      <c r="K251" s="19" t="n"/>
    </row>
    <row r="252">
      <c r="A252" s="13" t="inlineStr">
        <is>
          <t>29 Customer contacts</t>
        </is>
      </c>
      <c r="B252" s="14" t="inlineStr">
        <is>
          <t>S29-11</t>
        </is>
      </c>
      <c r="C252" s="15" t="inlineStr">
        <is>
          <t>Customers</t>
        </is>
      </c>
      <c r="D252" s="48" t="inlineStr">
        <is>
          <t>New</t>
        </is>
      </c>
      <c r="E252" s="17" t="inlineStr">
        <is>
          <t>13a</t>
        </is>
      </c>
      <c r="F252" s="13" t="inlineStr">
        <is>
          <t>Edit the default contact and untick Active.</t>
        </is>
      </c>
      <c r="G252" s="13" t="inlineStr">
        <is>
          <t>Another active contact takes the default role and the mirror follows it.</t>
        </is>
      </c>
      <c r="H252" s="18" t="inlineStr">
        <is>
          <t>Not run</t>
        </is>
      </c>
      <c r="I252" s="18" t="n"/>
      <c r="J252" s="18" t="n"/>
      <c r="K252" s="19" t="n"/>
    </row>
    <row r="253">
      <c r="A253" s="13" t="inlineStr">
        <is>
          <t>29 Customer contacts</t>
        </is>
      </c>
      <c r="B253" s="14" t="inlineStr">
        <is>
          <t>S29-12</t>
        </is>
      </c>
      <c r="C253" s="15" t="inlineStr">
        <is>
          <t>Export</t>
        </is>
      </c>
      <c r="D253" s="48" t="inlineStr">
        <is>
          <t>Mixed</t>
        </is>
      </c>
      <c r="E253" s="17" t="inlineStr">
        <is>
          <t>13a</t>
        </is>
      </c>
      <c r="F253" s="13" t="inlineStr">
        <is>
          <t>Export customers, and open the customer picker on a ticket.</t>
        </is>
      </c>
      <c r="G253" s="13" t="inlineStr">
        <is>
          <t>Both still show the default contact's details exactly as before this release - they read customers.contact_*, which is kept as a mirror rather than retired.</t>
        </is>
      </c>
      <c r="H253" s="18" t="inlineStr">
        <is>
          <t>Not run</t>
        </is>
      </c>
      <c r="I253" s="18" t="n"/>
      <c r="J253" s="18" t="n"/>
      <c r="K253" s="19" t="n"/>
    </row>
    <row r="254">
      <c r="A254" s="13" t="inlineStr">
        <is>
          <t>29 Customer contacts</t>
        </is>
      </c>
      <c r="B254" s="14" t="inlineStr">
        <is>
          <t>S29-13</t>
        </is>
      </c>
      <c r="C254" s="15" t="inlineStr">
        <is>
          <t>Tickets</t>
        </is>
      </c>
      <c r="D254" s="48" t="inlineStr">
        <is>
          <t>New</t>
        </is>
      </c>
      <c r="E254" s="17" t="inlineStr">
        <is>
          <t>13a</t>
        </is>
      </c>
      <c r="F254" s="13" t="inlineStr">
        <is>
          <t>Open a ticket whose customer has exactly one contact.</t>
        </is>
      </c>
      <c r="G254" s="13" t="inlineStr">
        <is>
          <t>The contact shows as a line of text with no dropdown - a control with only one possible answer is not offered.</t>
        </is>
      </c>
      <c r="H254" s="18" t="inlineStr">
        <is>
          <t>Not run</t>
        </is>
      </c>
      <c r="I254" s="18" t="n"/>
      <c r="J254" s="18" t="n"/>
      <c r="K254" s="19" t="n"/>
    </row>
    <row r="255">
      <c r="A255" s="13" t="inlineStr">
        <is>
          <t>29 Customer contacts</t>
        </is>
      </c>
      <c r="B255" s="14" t="inlineStr">
        <is>
          <t>S29-14</t>
        </is>
      </c>
      <c r="C255" s="15" t="inlineStr">
        <is>
          <t>Tickets</t>
        </is>
      </c>
      <c r="D255" s="48" t="inlineStr">
        <is>
          <t>New</t>
        </is>
      </c>
      <c r="E255" s="17" t="inlineStr">
        <is>
          <t>13a</t>
        </is>
      </c>
      <c r="F255" s="13" t="inlineStr">
        <is>
          <t>Open a ticket whose customer has three contacts and pick a non-default one.</t>
        </is>
      </c>
      <c r="G255" s="13" t="inlineStr">
        <is>
          <t>A dropdown appears defaulting to 'Default - &lt;name&gt;'. Choosing another changes the displayed details and writes a Contact row to the audit trail.</t>
        </is>
      </c>
      <c r="H255" s="18" t="inlineStr">
        <is>
          <t>Not run</t>
        </is>
      </c>
      <c r="I255" s="18" t="n"/>
      <c r="J255" s="18" t="n"/>
      <c r="K255" s="19" t="n"/>
    </row>
    <row r="256">
      <c r="A256" s="13" t="inlineStr">
        <is>
          <t>29 Customer contacts</t>
        </is>
      </c>
      <c r="B256" s="14" t="inlineStr">
        <is>
          <t>S29-15</t>
        </is>
      </c>
      <c r="C256" s="15" t="inlineStr">
        <is>
          <t>Tickets</t>
        </is>
      </c>
      <c r="D256" s="48" t="inlineStr">
        <is>
          <t>New</t>
        </is>
      </c>
      <c r="E256" s="17" t="inlineStr">
        <is>
          <t>13a</t>
        </is>
      </c>
      <c r="F256" s="13" t="inlineStr">
        <is>
          <t>On a ticket where no specific contact was chosen, change which contact is the customer's default, then reopen the ticket.</t>
        </is>
      </c>
      <c r="G256" s="13" t="inlineStr">
        <is>
          <t>It shows the NEW default. Leaving the picker alone means 'whoever the default is', not a pin to the old one.</t>
        </is>
      </c>
      <c r="H256" s="18" t="inlineStr">
        <is>
          <t>Not run</t>
        </is>
      </c>
      <c r="I256" s="18" t="n"/>
      <c r="J256" s="18" t="n"/>
      <c r="K256" s="19" t="n"/>
    </row>
    <row r="257">
      <c r="A257" s="13" t="inlineStr">
        <is>
          <t>29 Customer contacts</t>
        </is>
      </c>
      <c r="B257" s="14" t="inlineStr">
        <is>
          <t>S29-16</t>
        </is>
      </c>
      <c r="C257" s="15" t="inlineStr">
        <is>
          <t>Tickets</t>
        </is>
      </c>
      <c r="D257" s="48" t="inlineStr">
        <is>
          <t>New</t>
        </is>
      </c>
      <c r="E257" s="17" t="inlineStr">
        <is>
          <t>13a</t>
        </is>
      </c>
      <c r="F257" s="13" t="inlineStr">
        <is>
          <t>On a ticket with a specific contact chosen, change the ticket's customer to a different company.</t>
        </is>
      </c>
      <c r="G257" s="13" t="inlineStr">
        <is>
          <t>The contact clears, an audit row records it, and the picker reloads for the new customer - a contact belongs to exactly one customer.</t>
        </is>
      </c>
      <c r="H257" s="18" t="inlineStr">
        <is>
          <t>Not run</t>
        </is>
      </c>
      <c r="I257" s="18" t="n"/>
      <c r="J257" s="18" t="n"/>
      <c r="K257" s="19" t="n"/>
    </row>
    <row r="258">
      <c r="A258" s="13" t="inlineStr">
        <is>
          <t>29 Customer contacts</t>
        </is>
      </c>
      <c r="B258" s="14" t="inlineStr">
        <is>
          <t>S29-17</t>
        </is>
      </c>
      <c r="C258" s="15" t="inlineStr">
        <is>
          <t>Tickets</t>
        </is>
      </c>
      <c r="D258" s="48" t="inlineStr">
        <is>
          <t>New</t>
        </is>
      </c>
      <c r="E258" s="17" t="inlineStr">
        <is>
          <t>13a</t>
        </is>
      </c>
      <c r="F258" s="13" t="inlineStr">
        <is>
          <t>Via the REST API, set customer_id to customer A and customer_contact_id to a contact of customer B in one call.</t>
        </is>
      </c>
      <c r="G258" s="13" t="inlineStr">
        <is>
          <t>Refused with 'That contact does not belong to the selected customer.' Nothing is written.</t>
        </is>
      </c>
      <c r="H258" s="18" t="inlineStr">
        <is>
          <t>Not run</t>
        </is>
      </c>
      <c r="I258" s="18" t="n"/>
      <c r="J258" s="18" t="n"/>
      <c r="K258" s="19" t="n"/>
    </row>
    <row r="259">
      <c r="A259" s="13" t="inlineStr">
        <is>
          <t>29 Customer contacts</t>
        </is>
      </c>
      <c r="B259" s="14" t="inlineStr">
        <is>
          <t>S29-18</t>
        </is>
      </c>
      <c r="C259" s="15" t="inlineStr">
        <is>
          <t>Tickets</t>
        </is>
      </c>
      <c r="D259" s="48" t="inlineStr">
        <is>
          <t>New</t>
        </is>
      </c>
      <c r="E259" s="17" t="inlineStr">
        <is>
          <t>13a</t>
        </is>
      </c>
      <c r="F259" s="13" t="inlineStr">
        <is>
          <t>Delete a contact that a ticket names, then reopen that ticket.</t>
        </is>
      </c>
      <c r="G259" s="13" t="inlineStr">
        <is>
          <t>The ticket opens and shows the customer's default contact. The link is SET NULL, and NULL has always meant 'the customer's default'.</t>
        </is>
      </c>
      <c r="H259" s="18" t="inlineStr">
        <is>
          <t>Not run</t>
        </is>
      </c>
      <c r="I259" s="18" t="n"/>
      <c r="J259" s="18" t="n"/>
      <c r="K259" s="19" t="n"/>
    </row>
    <row r="260">
      <c r="A260" s="13" t="inlineStr">
        <is>
          <t>29 Customer contacts</t>
        </is>
      </c>
      <c r="B260" s="14" t="inlineStr">
        <is>
          <t>S29-19</t>
        </is>
      </c>
      <c r="C260" s="15" t="inlineStr">
        <is>
          <t>Customers</t>
        </is>
      </c>
      <c r="D260" s="48" t="inlineStr">
        <is>
          <t>New</t>
        </is>
      </c>
      <c r="E260" s="17" t="inlineStr">
        <is>
          <t>13a</t>
        </is>
      </c>
      <c r="F260" s="13" t="inlineStr">
        <is>
          <t>Deploy the code but do NOT run Database Verify, then open the customers page and a ticket with a customer.</t>
        </is>
      </c>
      <c r="G260" s="13" t="inlineStr">
        <is>
          <t>The single inline contact shows as before and the Contacts panel says Database Verify is needed. Nothing errors.</t>
        </is>
      </c>
      <c r="H260" s="18" t="inlineStr">
        <is>
          <t>Not run</t>
        </is>
      </c>
      <c r="I260" s="18" t="n"/>
      <c r="J260" s="18" t="n"/>
      <c r="K260" s="19" t="n"/>
    </row>
    <row r="261">
      <c r="A261" s="13" t="inlineStr">
        <is>
          <t>30 Portal users</t>
        </is>
      </c>
      <c r="B261" s="14" t="inlineStr">
        <is>
          <t>S30-01</t>
        </is>
      </c>
      <c r="C261" s="15" t="inlineStr">
        <is>
          <t>Environment</t>
        </is>
      </c>
      <c r="D261" s="48" t="inlineStr">
        <is>
          <t>Setup</t>
        </is>
      </c>
      <c r="E261" s="17" t="inlineStr">
        <is>
          <t>13b</t>
        </is>
      </c>
      <c r="F261" s="13" t="inlineStr">
        <is>
          <t>Run Database Verify, then open a customer page.</t>
        </is>
      </c>
      <c r="G261" s="13" t="inlineStr">
        <is>
          <t>users.customer_id exists with its index and FK, and a Portal users panel appears on the customer.</t>
        </is>
      </c>
      <c r="H261" s="18" t="inlineStr">
        <is>
          <t>Not run</t>
        </is>
      </c>
      <c r="I261" s="18" t="n"/>
      <c r="J261" s="18" t="n"/>
      <c r="K261" s="19" t="n"/>
    </row>
    <row r="262">
      <c r="A262" s="13" t="inlineStr">
        <is>
          <t>30 Portal users</t>
        </is>
      </c>
      <c r="B262" s="14" t="inlineStr">
        <is>
          <t>S30-02</t>
        </is>
      </c>
      <c r="C262" s="15" t="inlineStr">
        <is>
          <t>Customers</t>
        </is>
      </c>
      <c r="D262" s="48" t="inlineStr">
        <is>
          <t>New</t>
        </is>
      </c>
      <c r="E262" s="17" t="inlineStr">
        <is>
          <t>13b</t>
        </is>
      </c>
      <c r="F262" s="13" t="inlineStr">
        <is>
          <t>Use Link existing user and enter the email of a self-registered portal user with no customer.</t>
        </is>
      </c>
      <c r="G262" s="13" t="inlineStr">
        <is>
          <t>They appear in the panel. Entering an address with no portal user is reported rather than silently ignored.</t>
        </is>
      </c>
      <c r="H262" s="18" t="inlineStr">
        <is>
          <t>Not run</t>
        </is>
      </c>
      <c r="I262" s="18" t="n"/>
      <c r="J262" s="18" t="n"/>
      <c r="K262" s="19" t="n"/>
    </row>
    <row r="263">
      <c r="A263" s="13" t="inlineStr">
        <is>
          <t>30 Portal users</t>
        </is>
      </c>
      <c r="B263" s="14" t="inlineStr">
        <is>
          <t>S30-03</t>
        </is>
      </c>
      <c r="C263" s="15" t="inlineStr">
        <is>
          <t>Customers</t>
        </is>
      </c>
      <c r="D263" s="48" t="inlineStr">
        <is>
          <t>New</t>
        </is>
      </c>
      <c r="E263" s="17" t="inlineStr">
        <is>
          <t>13b</t>
        </is>
      </c>
      <c r="F263" s="13" t="inlineStr">
        <is>
          <t>Try to link a user who is already linked to a different customer.</t>
        </is>
      </c>
      <c r="G263" s="13" t="inlineStr">
        <is>
          <t>Refused, and the error NAMES the other customer and says to unlink them there first. Moving somebody between customers is a decision, not a side effect.</t>
        </is>
      </c>
      <c r="H263" s="18" t="inlineStr">
        <is>
          <t>Not run</t>
        </is>
      </c>
      <c r="I263" s="18" t="n"/>
      <c r="J263" s="18" t="n"/>
      <c r="K263" s="19" t="n"/>
    </row>
    <row r="264">
      <c r="A264" s="13" t="inlineStr">
        <is>
          <t>30 Portal users</t>
        </is>
      </c>
      <c r="B264" s="14" t="inlineStr">
        <is>
          <t>S30-04</t>
        </is>
      </c>
      <c r="C264" s="15" t="inlineStr">
        <is>
          <t>Customers</t>
        </is>
      </c>
      <c r="D264" s="48" t="inlineStr">
        <is>
          <t>New</t>
        </is>
      </c>
      <c r="E264" s="17" t="inlineStr">
        <is>
          <t>13b</t>
        </is>
      </c>
      <c r="F264" s="13" t="inlineStr">
        <is>
          <t>Use Create user with a new email address and a display name.</t>
        </is>
      </c>
      <c r="G264" s="13" t="inlineStr">
        <is>
          <t>The user appears carrying a 'Not signed up' badge. No password was requested or displayed - the account is created without one.</t>
        </is>
      </c>
      <c r="H264" s="18" t="inlineStr">
        <is>
          <t>Not run</t>
        </is>
      </c>
      <c r="I264" s="18" t="n"/>
      <c r="J264" s="18" t="n"/>
      <c r="K264" s="19" t="n"/>
    </row>
    <row r="265">
      <c r="A265" s="13" t="inlineStr">
        <is>
          <t>30 Portal users</t>
        </is>
      </c>
      <c r="B265" s="14" t="inlineStr">
        <is>
          <t>S30-05</t>
        </is>
      </c>
      <c r="C265" s="15" t="inlineStr">
        <is>
          <t>Portal</t>
        </is>
      </c>
      <c r="D265" s="48" t="inlineStr">
        <is>
          <t>New</t>
        </is>
      </c>
      <c r="E265" s="17" t="inlineStr">
        <is>
          <t>13b</t>
        </is>
      </c>
      <c r="F265" s="13" t="inlineStr">
        <is>
          <t>On the self-service portal, register with the exact email of that created account and choose a password.</t>
        </is>
      </c>
      <c r="G265" s="13" t="inlineStr">
        <is>
          <t>Registration CLAIMS the existing row rather than creating a second user; the customer link survives, and the 'Not signed up' badge clears on the customer page.</t>
        </is>
      </c>
      <c r="H265" s="18" t="inlineStr">
        <is>
          <t>Not run</t>
        </is>
      </c>
      <c r="I265" s="18" t="n"/>
      <c r="J265" s="18" t="n"/>
      <c r="K265" s="19" t="n"/>
    </row>
    <row r="266">
      <c r="A266" s="13" t="inlineStr">
        <is>
          <t>30 Portal users</t>
        </is>
      </c>
      <c r="B266" s="14" t="inlineStr">
        <is>
          <t>S30-06</t>
        </is>
      </c>
      <c r="C266" s="15" t="inlineStr">
        <is>
          <t>Customers</t>
        </is>
      </c>
      <c r="D266" s="48" t="inlineStr">
        <is>
          <t>New</t>
        </is>
      </c>
      <c r="E266" s="17" t="inlineStr">
        <is>
          <t>13b</t>
        </is>
      </c>
      <c r="F266" s="13" t="inlineStr">
        <is>
          <t>Try Create user with the email address of an existing ANALYST.</t>
        </is>
      </c>
      <c r="G266" s="13" t="inlineStr">
        <is>
          <t>Refused, saying the address belongs to an analyst account - a portal user must not shadow a staff login.</t>
        </is>
      </c>
      <c r="H266" s="18" t="inlineStr">
        <is>
          <t>Not run</t>
        </is>
      </c>
      <c r="I266" s="18" t="n"/>
      <c r="J266" s="18" t="n"/>
      <c r="K266" s="19" t="n"/>
    </row>
    <row r="267">
      <c r="A267" s="13" t="inlineStr">
        <is>
          <t>30 Portal users</t>
        </is>
      </c>
      <c r="B267" s="14" t="inlineStr">
        <is>
          <t>S30-07</t>
        </is>
      </c>
      <c r="C267" s="15" t="inlineStr">
        <is>
          <t>Customers</t>
        </is>
      </c>
      <c r="D267" s="48" t="inlineStr">
        <is>
          <t>New</t>
        </is>
      </c>
      <c r="E267" s="17" t="inlineStr">
        <is>
          <t>13b</t>
        </is>
      </c>
      <c r="F267" s="13" t="inlineStr">
        <is>
          <t>Use Create user with the email of an existing portal user who has no customer.</t>
        </is>
      </c>
      <c r="G267" s="13" t="inlineStr">
        <is>
          <t>The existing account is linked to this customer. No second row is created and no unique-index error is shown - an analyst typing a known address means 'this person'.</t>
        </is>
      </c>
      <c r="H267" s="18" t="inlineStr">
        <is>
          <t>Not run</t>
        </is>
      </c>
      <c r="I267" s="18" t="n"/>
      <c r="J267" s="18" t="n"/>
      <c r="K267" s="19" t="n"/>
    </row>
    <row r="268">
      <c r="A268" s="13" t="inlineStr">
        <is>
          <t>30 Portal users</t>
        </is>
      </c>
      <c r="B268" s="14" t="inlineStr">
        <is>
          <t>S30-08</t>
        </is>
      </c>
      <c r="C268" s="15" t="inlineStr">
        <is>
          <t>Customers</t>
        </is>
      </c>
      <c r="D268" s="48" t="inlineStr">
        <is>
          <t>New</t>
        </is>
      </c>
      <c r="E268" s="17" t="inlineStr">
        <is>
          <t>13b</t>
        </is>
      </c>
      <c r="F268" s="13" t="inlineStr">
        <is>
          <t>Use Create user with the email of a portal user who belongs to ANOTHER customer.</t>
        </is>
      </c>
      <c r="G268" s="13" t="inlineStr">
        <is>
          <t>Refused, saying they already belong to another customer.</t>
        </is>
      </c>
      <c r="H268" s="18" t="inlineStr">
        <is>
          <t>Not run</t>
        </is>
      </c>
      <c r="I268" s="18" t="n"/>
      <c r="J268" s="18" t="n"/>
      <c r="K268" s="19" t="n"/>
    </row>
    <row r="269">
      <c r="A269" s="13" t="inlineStr">
        <is>
          <t>30 Portal users</t>
        </is>
      </c>
      <c r="B269" s="14" t="inlineStr">
        <is>
          <t>S30-09</t>
        </is>
      </c>
      <c r="C269" s="15" t="inlineStr">
        <is>
          <t>Customers</t>
        </is>
      </c>
      <c r="D269" s="48" t="inlineStr">
        <is>
          <t>New</t>
        </is>
      </c>
      <c r="E269" s="17" t="inlineStr">
        <is>
          <t>13b</t>
        </is>
      </c>
      <c r="F269" s="13" t="inlineStr">
        <is>
          <t>Click Unlink on a linked user and confirm.</t>
        </is>
      </c>
      <c r="G269" s="13" t="inlineStr">
        <is>
          <t>They leave the panel, but the portal account still exists and can still log in.</t>
        </is>
      </c>
      <c r="H269" s="18" t="inlineStr">
        <is>
          <t>Not run</t>
        </is>
      </c>
      <c r="I269" s="18" t="n"/>
      <c r="J269" s="18" t="n"/>
      <c r="K269" s="19" t="n"/>
    </row>
    <row r="270">
      <c r="A270" s="13" t="inlineStr">
        <is>
          <t>30 Portal users</t>
        </is>
      </c>
      <c r="B270" s="14" t="inlineStr">
        <is>
          <t>S30-10</t>
        </is>
      </c>
      <c r="C270" s="15" t="inlineStr">
        <is>
          <t>Tickets</t>
        </is>
      </c>
      <c r="D270" s="48" t="inlineStr">
        <is>
          <t>New</t>
        </is>
      </c>
      <c r="E270" s="17" t="inlineStr">
        <is>
          <t>13b</t>
        </is>
      </c>
      <c r="F270" s="13" t="inlineStr">
        <is>
          <t>Log into the self-service portal as a linked, claimed user and raise a ticket.</t>
        </is>
      </c>
      <c r="G270" s="13" t="inlineStr">
        <is>
          <t>The ticket arrives with the customer ALREADY set, with no analyst action. This is the reason to link users at all.</t>
        </is>
      </c>
      <c r="H270" s="18" t="inlineStr">
        <is>
          <t>Not run</t>
        </is>
      </c>
      <c r="I270" s="18" t="n"/>
      <c r="J270" s="18" t="n"/>
      <c r="K270" s="19" t="n"/>
    </row>
    <row r="271">
      <c r="A271" s="13" t="inlineStr">
        <is>
          <t>30 Portal users</t>
        </is>
      </c>
      <c r="B271" s="14" t="inlineStr">
        <is>
          <t>S30-11</t>
        </is>
      </c>
      <c r="C271" s="15" t="inlineStr">
        <is>
          <t>Tickets</t>
        </is>
      </c>
      <c r="D271" s="48" t="inlineStr">
        <is>
          <t>New</t>
        </is>
      </c>
      <c r="E271" s="17" t="inlineStr">
        <is>
          <t>13b</t>
        </is>
      </c>
      <c r="F271" s="13" t="inlineStr">
        <is>
          <t>Create a ticket via the REST API using a linked user's address as requester_email, naming no customer.</t>
        </is>
      </c>
      <c r="G271" s="13" t="inlineStr">
        <is>
          <t>The ticket's customer is filled in from the link.</t>
        </is>
      </c>
      <c r="H271" s="18" t="inlineStr">
        <is>
          <t>Not run</t>
        </is>
      </c>
      <c r="I271" s="18" t="n"/>
      <c r="J271" s="18" t="n"/>
      <c r="K271" s="19" t="n"/>
    </row>
    <row r="272">
      <c r="A272" s="13" t="inlineStr">
        <is>
          <t>30 Portal users</t>
        </is>
      </c>
      <c r="B272" s="14" t="inlineStr">
        <is>
          <t>S30-12</t>
        </is>
      </c>
      <c r="C272" s="15" t="inlineStr">
        <is>
          <t>Tickets</t>
        </is>
      </c>
      <c r="D272" s="48" t="inlineStr">
        <is>
          <t>New</t>
        </is>
      </c>
      <c r="E272" s="17" t="inlineStr">
        <is>
          <t>13b</t>
        </is>
      </c>
      <c r="F272" s="13" t="inlineStr">
        <is>
          <t>Create a ticket for that same requester while explicitly naming a DIFFERENT customer.</t>
        </is>
      </c>
      <c r="G272" s="13" t="inlineStr">
        <is>
          <t>The explicitly named customer wins - the inference only fills a gap, it never overrides.</t>
        </is>
      </c>
      <c r="H272" s="18" t="inlineStr">
        <is>
          <t>Not run</t>
        </is>
      </c>
      <c r="I272" s="18" t="n"/>
      <c r="J272" s="18" t="n"/>
      <c r="K272" s="19" t="n"/>
    </row>
    <row r="273">
      <c r="A273" s="13" t="inlineStr">
        <is>
          <t>30 Portal users</t>
        </is>
      </c>
      <c r="B273" s="14" t="inlineStr">
        <is>
          <t>S30-13</t>
        </is>
      </c>
      <c r="C273" s="15" t="inlineStr">
        <is>
          <t>Tickets</t>
        </is>
      </c>
      <c r="D273" s="48" t="inlineStr">
        <is>
          <t>New</t>
        </is>
      </c>
      <c r="E273" s="17" t="inlineStr">
        <is>
          <t>13b</t>
        </is>
      </c>
      <c r="F273" s="13" t="inlineStr">
        <is>
          <t>Raise a ticket as a portal user who has no customer link.</t>
        </is>
      </c>
      <c r="G273" s="13" t="inlineStr">
        <is>
          <t>The ticket has no customer, exactly as before this release.</t>
        </is>
      </c>
      <c r="H273" s="18" t="inlineStr">
        <is>
          <t>Not run</t>
        </is>
      </c>
      <c r="I273" s="18" t="n"/>
      <c r="J273" s="18" t="n"/>
      <c r="K273" s="19" t="n"/>
    </row>
    <row r="274">
      <c r="A274" s="13" t="inlineStr">
        <is>
          <t>30 Portal users</t>
        </is>
      </c>
      <c r="B274" s="14" t="inlineStr">
        <is>
          <t>S30-14</t>
        </is>
      </c>
      <c r="C274" s="15" t="inlineStr">
        <is>
          <t>Customers</t>
        </is>
      </c>
      <c r="D274" s="48" t="inlineStr">
        <is>
          <t>New</t>
        </is>
      </c>
      <c r="E274" s="17" t="inlineStr">
        <is>
          <t>13b</t>
        </is>
      </c>
      <c r="F274" s="13" t="inlineStr">
        <is>
          <t>Delete a customer that has linked portal users.</t>
        </is>
      </c>
      <c r="G274" s="13" t="inlineStr">
        <is>
          <t>The portal accounts survive and can still log in; they are simply unattached. Losing a customer account must never delete the people who can log in.</t>
        </is>
      </c>
      <c r="H274" s="18" t="inlineStr">
        <is>
          <t>Not run</t>
        </is>
      </c>
      <c r="I274" s="18" t="n"/>
      <c r="J274" s="18" t="n"/>
      <c r="K274" s="19" t="n"/>
    </row>
    <row r="275">
      <c r="A275" s="13" t="inlineStr">
        <is>
          <t>30 Portal users</t>
        </is>
      </c>
      <c r="B275" s="14" t="inlineStr">
        <is>
          <t>S30-15</t>
        </is>
      </c>
      <c r="C275" s="15" t="inlineStr">
        <is>
          <t>Customers</t>
        </is>
      </c>
      <c r="D275" s="48" t="inlineStr">
        <is>
          <t>New</t>
        </is>
      </c>
      <c r="E275" s="17" t="inlineStr">
        <is>
          <t>13b</t>
        </is>
      </c>
      <c r="F275" s="13" t="inlineStr">
        <is>
          <t>Deploy the code but do NOT run Database Verify, then open a customer page.</t>
        </is>
      </c>
      <c r="G275" s="13" t="inlineStr">
        <is>
          <t>The Portal users panel explains that Database Verify is needed. Nothing errors.</t>
        </is>
      </c>
      <c r="H275" s="18" t="inlineStr">
        <is>
          <t>Not run</t>
        </is>
      </c>
      <c r="I275" s="18" t="n"/>
      <c r="J275" s="18" t="n"/>
      <c r="K275" s="19" t="n"/>
    </row>
    <row r="276">
      <c r="A276" s="13" t="inlineStr">
        <is>
          <t>31 Knowledge KPIs</t>
        </is>
      </c>
      <c r="B276" s="14" t="inlineStr">
        <is>
          <t>S31-01</t>
        </is>
      </c>
      <c r="C276" s="15" t="inlineStr">
        <is>
          <t>KPIs</t>
        </is>
      </c>
      <c r="D276" s="48" t="inlineStr">
        <is>
          <t>Setup</t>
        </is>
      </c>
      <c r="E276" s="17" t="inlineStr">
        <is>
          <t>14a</t>
        </is>
      </c>
      <c r="F276" s="13" t="inlineStr">
        <is>
          <t>Run Database Verify, then open the KPI scorecard and inspect the source badges on the three 'Knowledge base articles' metrics.</t>
        </is>
      </c>
      <c r="G276" s="13" t="inlineStr">
        <is>
          <t>All three read Ready, not Manual - they are computed from the built-in knowledge base.</t>
        </is>
      </c>
      <c r="H276" s="18" t="inlineStr">
        <is>
          <t>Not run</t>
        </is>
      </c>
      <c r="I276" s="18" t="n"/>
      <c r="J276" s="18" t="n"/>
      <c r="K276" s="19" t="n"/>
    </row>
    <row r="277">
      <c r="A277" s="13" t="inlineStr">
        <is>
          <t>31 Knowledge KPIs</t>
        </is>
      </c>
      <c r="B277" s="14" t="inlineStr">
        <is>
          <t>S31-02</t>
        </is>
      </c>
      <c r="C277" s="15" t="inlineStr">
        <is>
          <t>KPIs</t>
        </is>
      </c>
      <c r="D277" s="48" t="inlineStr">
        <is>
          <t>New</t>
        </is>
      </c>
      <c r="E277" s="17" t="inlineStr">
        <is>
          <t>14a</t>
        </is>
      </c>
      <c r="F277" s="13" t="inlineStr">
        <is>
          <t>Create a brand-new database from database/freeitsm.sql, run Database Verify, and check the same three metrics.</t>
        </is>
      </c>
      <c r="G277" s="13" t="inlineStr">
        <is>
          <t>They read Ready on a fresh install too. The seeded values carry the computed status, not only the upgrade path.</t>
        </is>
      </c>
      <c r="H277" s="18" t="inlineStr">
        <is>
          <t>Not run</t>
        </is>
      </c>
      <c r="I277" s="18" t="n"/>
      <c r="J277" s="18" t="n"/>
      <c r="K277" s="19" t="n"/>
    </row>
    <row r="278">
      <c r="A278" s="13" t="inlineStr">
        <is>
          <t>31 Knowledge KPIs</t>
        </is>
      </c>
      <c r="B278" s="14" t="inlineStr">
        <is>
          <t>S31-03</t>
        </is>
      </c>
      <c r="C278" s="15" t="inlineStr">
        <is>
          <t>KPIs</t>
        </is>
      </c>
      <c r="D278" s="48" t="inlineStr">
        <is>
          <t>New</t>
        </is>
      </c>
      <c r="E278" s="17" t="inlineStr">
        <is>
          <t>14a</t>
        </is>
      </c>
      <c r="F278" s="13" t="inlineStr">
        <is>
          <t>With KB articles created this month by authors of known tiers, run cron/kpi_snapshot.php for the current period.</t>
        </is>
      </c>
      <c r="G278" s="13" t="inlineStr">
        <is>
          <t>Each tier's figure matches the number of articles created that month by an author of that tier.</t>
        </is>
      </c>
      <c r="H278" s="18" t="inlineStr">
        <is>
          <t>Not run</t>
        </is>
      </c>
      <c r="I278" s="18" t="n"/>
      <c r="J278" s="18" t="n"/>
      <c r="K278" s="19" t="n"/>
    </row>
    <row r="279">
      <c r="A279" s="13" t="inlineStr">
        <is>
          <t>31 Knowledge KPIs</t>
        </is>
      </c>
      <c r="B279" s="14" t="inlineStr">
        <is>
          <t>S31-04</t>
        </is>
      </c>
      <c r="C279" s="15" t="inlineStr">
        <is>
          <t>KPIs</t>
        </is>
      </c>
      <c r="D279" s="48" t="inlineStr">
        <is>
          <t>New</t>
        </is>
      </c>
      <c r="E279" s="17" t="inlineStr">
        <is>
          <t>14a</t>
        </is>
      </c>
      <c r="F279" s="13" t="inlineStr">
        <is>
          <t>Take an article created in a PREVIOUS month, revise it this month, and re-run the snapshot.</t>
        </is>
      </c>
      <c r="G279" s="13" t="inlineStr">
        <is>
          <t>The revision counts towards the saver's tier for this month - versions saved count, not only articles created.</t>
        </is>
      </c>
      <c r="H279" s="18" t="inlineStr">
        <is>
          <t>Not run</t>
        </is>
      </c>
      <c r="I279" s="18" t="n"/>
      <c r="J279" s="18" t="n"/>
      <c r="K279" s="19" t="n"/>
    </row>
    <row r="280">
      <c r="A280" s="13" t="inlineStr">
        <is>
          <t>31 Knowledge KPIs</t>
        </is>
      </c>
      <c r="B280" s="14" t="inlineStr">
        <is>
          <t>S31-05</t>
        </is>
      </c>
      <c r="C280" s="15" t="inlineStr">
        <is>
          <t>KPIs</t>
        </is>
      </c>
      <c r="D280" s="48" t="inlineStr">
        <is>
          <t>New</t>
        </is>
      </c>
      <c r="E280" s="17" t="inlineStr">
        <is>
          <t>14a</t>
        </is>
      </c>
      <c r="F280" s="13" t="inlineStr">
        <is>
          <t>Revise the same article three times in one month, then re-run the snapshot.</t>
        </is>
      </c>
      <c r="G280" s="13" t="inlineStr">
        <is>
          <t>It contributes 1, not 3 - results are de-duplicated per article.</t>
        </is>
      </c>
      <c r="H280" s="18" t="inlineStr">
        <is>
          <t>Not run</t>
        </is>
      </c>
      <c r="I280" s="18" t="n"/>
      <c r="J280" s="18" t="n"/>
      <c r="K280" s="19" t="n"/>
    </row>
    <row r="281">
      <c r="A281" s="13" t="inlineStr">
        <is>
          <t>31 Knowledge KPIs</t>
        </is>
      </c>
      <c r="B281" s="14" t="inlineStr">
        <is>
          <t>S31-06</t>
        </is>
      </c>
      <c r="C281" s="15" t="inlineStr">
        <is>
          <t>KPIs</t>
        </is>
      </c>
      <c r="D281" s="48" t="inlineStr">
        <is>
          <t>New</t>
        </is>
      </c>
      <c r="E281" s="17" t="inlineStr">
        <is>
          <t>14a</t>
        </is>
      </c>
      <c r="F281" s="13" t="inlineStr">
        <is>
          <t>Inspect the 'Playbook coverage &amp; currency' metric.</t>
        </is>
      </c>
      <c r="G281" s="13" t="inlineStr">
        <is>
          <t>It is still Manual. Playbooks are not KB articles and were deliberately not switched to computed.</t>
        </is>
      </c>
      <c r="H281" s="18" t="inlineStr">
        <is>
          <t>Not run</t>
        </is>
      </c>
      <c r="I281" s="18" t="n"/>
      <c r="J281" s="18" t="n"/>
      <c r="K281" s="19" t="n"/>
    </row>
    <row r="282">
      <c r="A282" s="13" t="inlineStr">
        <is>
          <t>32 BI export</t>
        </is>
      </c>
      <c r="B282" s="14" t="inlineStr">
        <is>
          <t>S32-01</t>
        </is>
      </c>
      <c r="C282" s="15" t="inlineStr">
        <is>
          <t>Export</t>
        </is>
      </c>
      <c r="D282" s="48" t="inlineStr">
        <is>
          <t>New</t>
        </is>
      </c>
      <c r="E282" s="17" t="inlineStr">
        <is>
          <t>Export</t>
        </is>
      </c>
      <c r="F282" s="13" t="inlineStr">
        <is>
          <t>Reporting &gt; Export: export the Tickets dataset and open the CSV.</t>
        </is>
      </c>
      <c r="G282" s="13" t="inlineStr">
        <is>
          <t>The 40 derived KPI columns are present and populated: MTTA, MTTR, MTTR excluding hold, SLA state, sla_met, escalations, holds, QA, CSAT, effort, cost, reopens and the date dimensions.</t>
        </is>
      </c>
      <c r="H282" s="18" t="inlineStr">
        <is>
          <t>Not run</t>
        </is>
      </c>
      <c r="I282" s="18" t="n"/>
      <c r="J282" s="18" t="n"/>
      <c r="K282" s="19" t="n"/>
    </row>
    <row r="283">
      <c r="A283" s="13" t="inlineStr">
        <is>
          <t>32 BI export</t>
        </is>
      </c>
      <c r="B283" s="14" t="inlineStr">
        <is>
          <t>S32-02</t>
        </is>
      </c>
      <c r="C283" s="15" t="inlineStr">
        <is>
          <t>Export</t>
        </is>
      </c>
      <c r="D283" s="48" t="inlineStr">
        <is>
          <t>New</t>
        </is>
      </c>
      <c r="E283" s="17" t="inlineStr">
        <is>
          <t>Export</t>
        </is>
      </c>
      <c r="F283" s="13" t="inlineStr">
        <is>
          <t>Compare a handful of derived export values against the same tickets on the KPI scorecard.</t>
        </is>
      </c>
      <c r="G283" s="13" t="inlineStr">
        <is>
          <t>They agree. includes/data_export.php mirrors includes/kpi_engine.php - if they disagree, one of the two was changed without the other.</t>
        </is>
      </c>
      <c r="H283" s="18" t="inlineStr">
        <is>
          <t>Not run</t>
        </is>
      </c>
      <c r="I283" s="18" t="n"/>
      <c r="J283" s="18" t="n"/>
      <c r="K283" s="19" t="n"/>
    </row>
    <row r="284">
      <c r="A284" s="13" t="inlineStr">
        <is>
          <t>32 BI export</t>
        </is>
      </c>
      <c r="B284" s="14" t="inlineStr">
        <is>
          <t>S32-03</t>
        </is>
      </c>
      <c r="C284" s="15" t="inlineStr">
        <is>
          <t>Export</t>
        </is>
      </c>
      <c r="D284" s="48" t="inlineStr">
        <is>
          <t>New</t>
        </is>
      </c>
      <c r="E284" s="17" t="inlineStr">
        <is>
          <t>Export</t>
        </is>
      </c>
      <c r="F284" s="13" t="inlineStr">
        <is>
          <t>On an install missing an optional dependency (for example no QA reviews recorded), export the same dataset.</t>
        </is>
      </c>
      <c r="G284" s="13" t="inlineStr">
        <is>
          <t>The dependent columns are dropped silently rather than erroring, so the export still works on a partly-migrated install.</t>
        </is>
      </c>
      <c r="H284" s="18" t="inlineStr">
        <is>
          <t>Not run</t>
        </is>
      </c>
      <c r="I284" s="18" t="n"/>
      <c r="J284" s="18" t="n"/>
      <c r="K284" s="19" t="n"/>
    </row>
    <row r="285">
      <c r="A285" s="13" t="inlineStr">
        <is>
          <t>32 BI export</t>
        </is>
      </c>
      <c r="B285" s="14" t="inlineStr">
        <is>
          <t>S32-04</t>
        </is>
      </c>
      <c r="C285" s="15" t="inlineStr">
        <is>
          <t>Export</t>
        </is>
      </c>
      <c r="D285" s="48" t="inlineStr">
        <is>
          <t>New</t>
        </is>
      </c>
      <c r="E285" s="17" t="inlineStr">
        <is>
          <t>Export</t>
        </is>
      </c>
      <c r="F285" s="13" t="inlineStr">
        <is>
          <t>Reporting &gt; Export &gt; Bundle export, choose Analytics, and download.</t>
        </is>
      </c>
      <c r="G285" s="13" t="inlineStr">
        <is>
          <t>A zip arrives holding the related CSVs plus a manifest and a README describing how the files join. Requires the zip PHP extension, which the Dockerfile installs.</t>
        </is>
      </c>
      <c r="H285" s="18" t="inlineStr">
        <is>
          <t>Not run</t>
        </is>
      </c>
      <c r="I285" s="18" t="n"/>
      <c r="J285" s="18" t="n"/>
      <c r="K285" s="19" t="n"/>
    </row>
    <row r="286">
      <c r="A286" s="13" t="inlineStr">
        <is>
          <t>32 BI export</t>
        </is>
      </c>
      <c r="B286" s="14" t="inlineStr">
        <is>
          <t>S32-05</t>
        </is>
      </c>
      <c r="C286" s="15" t="inlineStr">
        <is>
          <t>Export</t>
        </is>
      </c>
      <c r="D286" s="48" t="inlineStr">
        <is>
          <t>New</t>
        </is>
      </c>
      <c r="E286" s="17" t="inlineStr">
        <is>
          <t>Export</t>
        </is>
      </c>
      <c r="F286" s="13" t="inlineStr">
        <is>
          <t>Export the kpi_definitions dataset and the KPI child tables.</t>
        </is>
      </c>
      <c r="G286" s="13" t="inlineStr">
        <is>
          <t>Both export, so a BI tool can resolve metric names and drill into escalations, holds, QA and time entries.</t>
        </is>
      </c>
      <c r="H286" s="18" t="inlineStr">
        <is>
          <t>Not run</t>
        </is>
      </c>
      <c r="I286" s="18" t="n"/>
      <c r="J286" s="18" t="n"/>
      <c r="K286" s="19" t="n"/>
    </row>
    <row r="287">
      <c r="A287" s="13" t="inlineStr">
        <is>
          <t>33 Demo history</t>
        </is>
      </c>
      <c r="B287" s="14" t="inlineStr">
        <is>
          <t>S33-01</t>
        </is>
      </c>
      <c r="C287" s="15" t="inlineStr">
        <is>
          <t>Demo data</t>
        </is>
      </c>
      <c r="D287" s="48" t="inlineStr">
        <is>
          <t>New</t>
        </is>
      </c>
      <c r="E287" s="17" t="inlineStr">
        <is>
          <t>Demo</t>
        </is>
      </c>
      <c r="F287" s="13" t="inlineStr">
        <is>
          <t>System &gt; Demo data &gt; Reporting &amp; KPI history: configure SLA targets FIRST, then press Generate.</t>
        </is>
      </c>
      <c r="G287" s="13" t="inlineStr">
        <is>
          <t>Back-dated instrumented tickets are created, numbered DMO-YYMM-NNNN. The generator reads the install's own SLA targets and scales cycle times to them, so attainment is not a flat 0% on tight targets.</t>
        </is>
      </c>
      <c r="H287" s="18" t="inlineStr">
        <is>
          <t>Not run</t>
        </is>
      </c>
      <c r="I287" s="18" t="n"/>
      <c r="J287" s="18" t="n"/>
      <c r="K287" s="19" t="n"/>
    </row>
    <row r="288">
      <c r="A288" s="13" t="inlineStr">
        <is>
          <t>33 Demo history</t>
        </is>
      </c>
      <c r="B288" s="14" t="inlineStr">
        <is>
          <t>S33-02</t>
        </is>
      </c>
      <c r="C288" s="15" t="inlineStr">
        <is>
          <t>Demo data</t>
        </is>
      </c>
      <c r="D288" s="48" t="inlineStr">
        <is>
          <t>New</t>
        </is>
      </c>
      <c r="E288" s="17" t="inlineStr">
        <is>
          <t>Demo</t>
        </is>
      </c>
      <c r="F288" s="13" t="inlineStr">
        <is>
          <t>After generating, run cron/sla_snapshot_rebuild.php and read the Tracked count.</t>
        </is>
      </c>
      <c r="G288" s="13" t="inlineStr">
        <is>
          <t>Tracked is close to the generated ticket count, not a small fraction. A low number means targets were set on a non-default policy or a priority has no target/calendar.</t>
        </is>
      </c>
      <c r="H288" s="18" t="inlineStr">
        <is>
          <t>Not run</t>
        </is>
      </c>
      <c r="I288" s="18" t="n"/>
      <c r="J288" s="18" t="n"/>
      <c r="K288" s="19" t="n"/>
    </row>
    <row r="289">
      <c r="A289" s="13" t="inlineStr">
        <is>
          <t>33 Demo history</t>
        </is>
      </c>
      <c r="B289" s="14" t="inlineStr">
        <is>
          <t>S33-03</t>
        </is>
      </c>
      <c r="C289" s="15" t="inlineStr">
        <is>
          <t>Demo data</t>
        </is>
      </c>
      <c r="D289" s="48" t="inlineStr">
        <is>
          <t>New</t>
        </is>
      </c>
      <c r="E289" s="17" t="inlineStr">
        <is>
          <t>Demo</t>
        </is>
      </c>
      <c r="F289" s="13" t="inlineStr">
        <is>
          <t>Run cron/kpi_snapshot.php --backfill=18, then open the KPI scorecard and the 6-month sparklines.</t>
        </is>
      </c>
      <c r="G289" s="13" t="inlineStr">
        <is>
          <t>Eighteen months of measurements exist and the curves show the intended narrative - response times falling, SLA attainment rising, CSAT climbing - with seasonality rather than flat lines.</t>
        </is>
      </c>
      <c r="H289" s="18" t="inlineStr">
        <is>
          <t>Not run</t>
        </is>
      </c>
      <c r="I289" s="18" t="n"/>
      <c r="J289" s="18" t="n"/>
      <c r="K289" s="19" t="n"/>
    </row>
    <row r="290">
      <c r="A290" s="13" t="inlineStr">
        <is>
          <t>33 Demo history</t>
        </is>
      </c>
      <c r="B290" s="14" t="inlineStr">
        <is>
          <t>S33-04</t>
        </is>
      </c>
      <c r="C290" s="15" t="inlineStr">
        <is>
          <t>Demo data</t>
        </is>
      </c>
      <c r="D290" s="48" t="inlineStr">
        <is>
          <t>New</t>
        </is>
      </c>
      <c r="E290" s="17" t="inlineStr">
        <is>
          <t>Demo</t>
        </is>
      </c>
      <c r="F290" s="13" t="inlineStr">
        <is>
          <t>System &gt; Demo data &gt; Remove, then check the ticket list and the KPI measurements.</t>
        </is>
      </c>
      <c r="G290" s="13" t="inlineStr">
        <is>
          <t>Every DMO- prefixed ticket and its children are gone. Real tickets and configuration are untouched.</t>
        </is>
      </c>
      <c r="H290" s="18" t="inlineStr">
        <is>
          <t>Not run</t>
        </is>
      </c>
      <c r="I290" s="18" t="n"/>
      <c r="J290" s="18" t="n"/>
      <c r="K290" s="19" t="n"/>
    </row>
    <row r="291">
      <c r="A291" s="13" t="inlineStr">
        <is>
          <t>33 Demo history</t>
        </is>
      </c>
      <c r="B291" s="14" t="inlineStr">
        <is>
          <t>S33-05</t>
        </is>
      </c>
      <c r="C291" s="15" t="inlineStr">
        <is>
          <t>Demo data</t>
        </is>
      </c>
      <c r="D291" s="48" t="inlineStr">
        <is>
          <t>Mixed</t>
        </is>
      </c>
      <c r="E291" s="17" t="inlineStr">
        <is>
          <t>Demo</t>
        </is>
      </c>
      <c r="F291" s="13" t="inlineStr">
        <is>
          <t>Open System &gt; Demo data on a fresh session.</t>
        </is>
      </c>
      <c r="G291" s="13" t="inlineStr">
        <is>
          <t>The demo-data section is visible - it must not be hidden behind a display:none utility class.</t>
        </is>
      </c>
      <c r="H291" s="18" t="inlineStr">
        <is>
          <t>Not run</t>
        </is>
      </c>
      <c r="I291" s="18" t="n"/>
      <c r="J291" s="18" t="n"/>
      <c r="K291" s="19" t="n"/>
    </row>
    <row r="292">
      <c r="A292" s="13" t="inlineStr">
        <is>
          <t>34 Migration</t>
        </is>
      </c>
      <c r="B292" s="14" t="inlineStr">
        <is>
          <t>S34-01</t>
        </is>
      </c>
      <c r="C292" s="15" t="inlineStr">
        <is>
          <t>Migration</t>
        </is>
      </c>
      <c r="D292" s="48" t="inlineStr">
        <is>
          <t>New</t>
        </is>
      </c>
      <c r="E292" s="17" t="inlineStr">
        <is>
          <t>Migrate</t>
        </is>
      </c>
      <c r="F292" s="13" t="inlineStr">
        <is>
          <t>System &gt; Migrate: choose 'Coming from: Zoho Desk', upload an export, and read the analysis step.</t>
        </is>
      </c>
      <c r="G292" s="13" t="inlineStr">
        <is>
          <t>Columns are mapped, the curated columns are preferred where present, and rows with shifted fields are REJECTED by row number rather than half-imported.</t>
        </is>
      </c>
      <c r="H292" s="18" t="inlineStr">
        <is>
          <t>Not run</t>
        </is>
      </c>
      <c r="I292" s="18" t="n"/>
      <c r="J292" s="18" t="n"/>
      <c r="K292" s="19" t="n"/>
    </row>
    <row r="293">
      <c r="A293" s="13" t="inlineStr">
        <is>
          <t>34 Migration</t>
        </is>
      </c>
      <c r="B293" s="14" t="inlineStr">
        <is>
          <t>S34-02</t>
        </is>
      </c>
      <c r="C293" s="15" t="inlineStr">
        <is>
          <t>Migration</t>
        </is>
      </c>
      <c r="D293" s="48" t="inlineStr">
        <is>
          <t>New</t>
        </is>
      </c>
      <c r="E293" s="17" t="inlineStr">
        <is>
          <t>Migrate</t>
        </is>
      </c>
      <c r="F293" s="13" t="inlineStr">
        <is>
          <t>Check the preview for date and duration handling on a Zoho file.</t>
        </is>
      </c>
      <c r="G293" s="13" t="inlineStr">
        <is>
          <t>DD/MM/YYYY HH:MM dates and millisecond durations are both converted. 108960000 reads as about 30.3 hours, not a raw number.</t>
        </is>
      </c>
      <c r="H293" s="18" t="inlineStr">
        <is>
          <t>Not run</t>
        </is>
      </c>
      <c r="I293" s="18" t="n"/>
      <c r="J293" s="18" t="n"/>
      <c r="K293" s="19" t="n"/>
    </row>
    <row r="294">
      <c r="A294" s="13" t="inlineStr">
        <is>
          <t>34 Migration</t>
        </is>
      </c>
      <c r="B294" s="14" t="inlineStr">
        <is>
          <t>S34-03</t>
        </is>
      </c>
      <c r="C294" s="15" t="inlineStr">
        <is>
          <t>Migration</t>
        </is>
      </c>
      <c r="D294" s="48" t="inlineStr">
        <is>
          <t>New</t>
        </is>
      </c>
      <c r="E294" s="17" t="inlineStr">
        <is>
          <t>Migrate</t>
        </is>
      </c>
      <c r="F294" s="13" t="inlineStr">
        <is>
          <t>Commit a migration and inspect the resulting tickets' children.</t>
        </is>
      </c>
      <c r="G294" s="13" t="inlineStr">
        <is>
          <t>Number of Reopen, Number of Reassign, Is Escalated and Total Time Spent become real child rows. SLA Violation Type imports as the source system's own verdict and the SLA rebuild is skipped, so published figures are not restated.</t>
        </is>
      </c>
      <c r="H294" s="18" t="inlineStr">
        <is>
          <t>Not run</t>
        </is>
      </c>
      <c r="I294" s="18" t="n"/>
      <c r="J294" s="18" t="n"/>
      <c r="K294" s="19" t="n"/>
    </row>
    <row r="295">
      <c r="A295" s="13" t="inlineStr">
        <is>
          <t>34 Migration</t>
        </is>
      </c>
      <c r="B295" s="14" t="inlineStr">
        <is>
          <t>S34-04</t>
        </is>
      </c>
      <c r="C295" s="15" t="inlineStr">
        <is>
          <t>Migration</t>
        </is>
      </c>
      <c r="D295" s="48" t="inlineStr">
        <is>
          <t>New</t>
        </is>
      </c>
      <c r="E295" s="17" t="inlineStr">
        <is>
          <t>Migrate</t>
        </is>
      </c>
      <c r="F295" s="13" t="inlineStr">
        <is>
          <t>After migrating, set system_settings.kpi_cutover_month, then run cron/kpi_snapshot.php --backfill=18.</t>
        </is>
      </c>
      <c r="G295" s="13" t="inlineStr">
        <is>
          <t>Periods before the cutover month are refused, not computed. This is the only thing protecting migrated KPI history - kpi_measurements has no source or locked column.</t>
        </is>
      </c>
      <c r="H295" s="18" t="inlineStr">
        <is>
          <t>Not run</t>
        </is>
      </c>
      <c r="I295" s="18" t="n"/>
      <c r="J295" s="18" t="n"/>
      <c r="K295" s="19" t="n"/>
    </row>
    <row r="296">
      <c r="A296" s="13" t="inlineStr">
        <is>
          <t>34 Migration</t>
        </is>
      </c>
      <c r="B296" s="14" t="inlineStr">
        <is>
          <t>S34-05</t>
        </is>
      </c>
      <c r="C296" s="15" t="inlineStr">
        <is>
          <t>Migration</t>
        </is>
      </c>
      <c r="D296" s="48" t="inlineStr">
        <is>
          <t>New</t>
        </is>
      </c>
      <c r="E296" s="17" t="inlineStr">
        <is>
          <t>Migrate</t>
        </is>
      </c>
      <c r="F296" s="13" t="inlineStr">
        <is>
          <t>Run the same backfill WITHOUT a cutover month set on an install holding migrated history.</t>
        </is>
      </c>
      <c r="G296" s="13" t="inlineStr">
        <is>
          <t>The migrated figures are recomputed and change. Confirms why the cutover guard has to be set as part of the migration, not afterwards.</t>
        </is>
      </c>
      <c r="H296" s="18" t="inlineStr">
        <is>
          <t>Not run</t>
        </is>
      </c>
      <c r="I296" s="18" t="n"/>
      <c r="J296" s="18" t="n"/>
      <c r="K296" s="19" t="n"/>
    </row>
    <row r="297">
      <c r="A297" s="13" t="inlineStr">
        <is>
          <t>34 Migration</t>
        </is>
      </c>
      <c r="B297" s="14" t="inlineStr">
        <is>
          <t>S34-06</t>
        </is>
      </c>
      <c r="C297" s="15" t="inlineStr">
        <is>
          <t>Migration</t>
        </is>
      </c>
      <c r="D297" s="48" t="inlineStr">
        <is>
          <t>New</t>
        </is>
      </c>
      <c r="E297" s="17" t="inlineStr">
        <is>
          <t>Import</t>
        </is>
      </c>
      <c r="F297" s="13" t="inlineStr">
        <is>
          <t>Open System &gt; Import and System &gt; Migrate on a fresh deploy.</t>
        </is>
      </c>
      <c r="G297" s="13" t="inlineStr">
        <is>
          <t>REGRESSION: both screens open. includes/data_import.php was a parse error for several commits, which took out mass import, the dataset picker and the whole migration path, because data_migrate.php delegates to it.</t>
        </is>
      </c>
      <c r="H297" s="18" t="inlineStr">
        <is>
          <t>Not run</t>
        </is>
      </c>
      <c r="I297" s="18" t="n"/>
      <c r="J297" s="18" t="n"/>
      <c r="K297" s="19" t="n"/>
    </row>
    <row r="298">
      <c r="A298" s="13" t="inlineStr">
        <is>
          <t>34 Migration</t>
        </is>
      </c>
      <c r="B298" s="14" t="inlineStr">
        <is>
          <t>S34-07</t>
        </is>
      </c>
      <c r="C298" s="15" t="inlineStr">
        <is>
          <t>Migration</t>
        </is>
      </c>
      <c r="D298" s="48" t="inlineStr">
        <is>
          <t>New</t>
        </is>
      </c>
      <c r="E298" s="17" t="inlineStr">
        <is>
          <t>Import</t>
        </is>
      </c>
      <c r="F298" s="13" t="inlineStr">
        <is>
          <t>Run php -l over every .php file in the deployed tree.</t>
        </is>
      </c>
      <c r="G298" s="13" t="inlineStr">
        <is>
          <t>No parse errors. This is the sweep that catches a fatal in a file nothing exercises until someone opens its screen.</t>
        </is>
      </c>
      <c r="H298" s="18" t="inlineStr">
        <is>
          <t>Not run</t>
        </is>
      </c>
      <c r="I298" s="18" t="n"/>
      <c r="J298" s="18" t="n"/>
      <c r="K298" s="19" t="n"/>
    </row>
    <row r="299">
      <c r="A299" s="13" t="inlineStr">
        <is>
          <t>35 Inbound webhooks</t>
        </is>
      </c>
      <c r="B299" s="14" t="inlineStr">
        <is>
          <t>S35-01</t>
        </is>
      </c>
      <c r="C299" s="15" t="inlineStr">
        <is>
          <t>Environment</t>
        </is>
      </c>
      <c r="D299" s="48" t="inlineStr">
        <is>
          <t>Setup</t>
        </is>
      </c>
      <c r="E299" s="17" t="inlineStr">
        <is>
          <t>Webhook</t>
        </is>
      </c>
      <c r="F299" s="13" t="inlineStr">
        <is>
          <t>Run Database Verify, then open System &gt; Inbound webhooks.</t>
        </is>
      </c>
      <c r="G299" s="13" t="inlineStr">
        <is>
          <t>The inbound webhook tables are created with no errors and the admin screen lists sources.</t>
        </is>
      </c>
      <c r="H299" s="18" t="inlineStr">
        <is>
          <t>Not run</t>
        </is>
      </c>
      <c r="I299" s="18" t="n"/>
      <c r="J299" s="18" t="n"/>
      <c r="K299" s="19" t="n"/>
    </row>
    <row r="300">
      <c r="A300" s="13" t="inlineStr">
        <is>
          <t>35 Inbound webhooks</t>
        </is>
      </c>
      <c r="B300" s="14" t="inlineStr">
        <is>
          <t>S35-02</t>
        </is>
      </c>
      <c r="C300" s="15" t="inlineStr">
        <is>
          <t>Webhooks</t>
        </is>
      </c>
      <c r="D300" s="48" t="inlineStr">
        <is>
          <t>New</t>
        </is>
      </c>
      <c r="E300" s="17" t="inlineStr">
        <is>
          <t>Webhook</t>
        </is>
      </c>
      <c r="F300" s="13" t="inlineStr">
        <is>
          <t>Create an inbound source, then POST a payload to api/inbound/webhook.php using each supported auth mode in turn.</t>
        </is>
      </c>
      <c r="G300" s="13" t="inlineStr">
        <is>
          <t>A correctly authenticated call raises a ticket; a call with a wrong or missing credential is rejected and logged.</t>
        </is>
      </c>
      <c r="H300" s="18" t="inlineStr">
        <is>
          <t>Not run</t>
        </is>
      </c>
      <c r="I300" s="18" t="n"/>
      <c r="J300" s="18" t="n"/>
      <c r="K300" s="19" t="n"/>
    </row>
    <row r="301">
      <c r="A301" s="13" t="inlineStr">
        <is>
          <t>35 Inbound webhooks</t>
        </is>
      </c>
      <c r="B301" s="14" t="inlineStr">
        <is>
          <t>S35-03</t>
        </is>
      </c>
      <c r="C301" s="15" t="inlineStr">
        <is>
          <t>Webhooks</t>
        </is>
      </c>
      <c r="D301" s="48" t="inlineStr">
        <is>
          <t>New</t>
        </is>
      </c>
      <c r="E301" s="17" t="inlineStr">
        <is>
          <t>Webhook</t>
        </is>
      </c>
      <c r="F301" s="13" t="inlineStr">
        <is>
          <t>POST the worked Grafana/Alertmanager example from docs/inbound-webhooks.md.</t>
        </is>
      </c>
      <c r="G301" s="13" t="inlineStr">
        <is>
          <t>A ticket is created with the mapped fields populated, as the document describes.</t>
        </is>
      </c>
      <c r="H301" s="18" t="inlineStr">
        <is>
          <t>Not run</t>
        </is>
      </c>
      <c r="I301" s="18" t="n"/>
      <c r="J301" s="18" t="n"/>
      <c r="K301" s="19" t="n"/>
    </row>
    <row r="302">
      <c r="A302" s="13" t="inlineStr">
        <is>
          <t>35 Inbound webhooks</t>
        </is>
      </c>
      <c r="B302" s="14" t="inlineStr">
        <is>
          <t>S35-04</t>
        </is>
      </c>
      <c r="C302" s="15" t="inlineStr">
        <is>
          <t>Webhooks</t>
        </is>
      </c>
      <c r="D302" s="48" t="inlineStr">
        <is>
          <t>New</t>
        </is>
      </c>
      <c r="E302" s="17" t="inlineStr">
        <is>
          <t>Webhook</t>
        </is>
      </c>
      <c r="F302" s="13" t="inlineStr">
        <is>
          <t>POST twice with the same external reference.</t>
        </is>
      </c>
      <c r="G302" s="13" t="inlineStr">
        <is>
          <t>The second delivery correlates to the existing ticket by external_ref instead of raising a duplicate.</t>
        </is>
      </c>
      <c r="H302" s="18" t="inlineStr">
        <is>
          <t>Not run</t>
        </is>
      </c>
      <c r="I302" s="18" t="n"/>
      <c r="J302" s="18" t="n"/>
      <c r="K302" s="19" t="n"/>
    </row>
    <row r="303">
      <c r="A303" s="13" t="inlineStr">
        <is>
          <t>35 Inbound webhooks</t>
        </is>
      </c>
      <c r="B303" s="14" t="inlineStr">
        <is>
          <t>S35-05</t>
        </is>
      </c>
      <c r="C303" s="15" t="inlineStr">
        <is>
          <t>Webhooks</t>
        </is>
      </c>
      <c r="D303" s="48" t="inlineStr">
        <is>
          <t>New</t>
        </is>
      </c>
      <c r="E303" s="17" t="inlineStr">
        <is>
          <t>Webhook</t>
        </is>
      </c>
      <c r="F303" s="13" t="inlineStr">
        <is>
          <t>Check the delivery log after a mix of accepted and rejected calls.</t>
        </is>
      </c>
      <c r="G303" s="13" t="inlineStr">
        <is>
          <t>Every delivery is recorded with its outcome. Per-source rate limiting and replaying a logged delivery are NOT built - do not test them.</t>
        </is>
      </c>
      <c r="H303" s="18" t="inlineStr">
        <is>
          <t>Not run</t>
        </is>
      </c>
      <c r="I303" s="18" t="n"/>
      <c r="J303" s="18" t="n"/>
      <c r="K303" s="19" t="n"/>
    </row>
    <row r="304">
      <c r="A304" s="13" t="inlineStr">
        <is>
          <t>35 Inbound webhooks</t>
        </is>
      </c>
      <c r="B304" s="14" t="inlineStr">
        <is>
          <t>S35-06</t>
        </is>
      </c>
      <c r="C304" s="15" t="inlineStr">
        <is>
          <t>Webhooks</t>
        </is>
      </c>
      <c r="D304" s="48" t="inlineStr">
        <is>
          <t>Mixed</t>
        </is>
      </c>
      <c r="E304" s="17" t="inlineStr">
        <is>
          <t>12c</t>
        </is>
      </c>
      <c r="F304" s="13" t="inlineStr">
        <is>
          <t>Raise a ticket through an inbound webhook and check its ticket type.</t>
        </is>
      </c>
      <c r="G304" s="13" t="inlineStr">
        <is>
          <t>Confirm the intended behaviour: monitoring-raised tickets are the case the new Event type exists for. Record what happens today - the two features have not been wired together.</t>
        </is>
      </c>
      <c r="H304" s="18" t="inlineStr">
        <is>
          <t>Not run</t>
        </is>
      </c>
      <c r="I304" s="18" t="n"/>
      <c r="J304" s="18" t="n"/>
      <c r="K304" s="19" t="n"/>
    </row>
  </sheetData>
  <autoFilter ref="A1:K304"/>
  <dataValidations count="1">
    <dataValidation sqref="H2:H304" showDropDown="0" showInputMessage="0" showErrorMessage="0" allowBlank="1" type="list">
      <formula1>"Not run,Pass,Fail,Blocked,N/A"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3"/>
  <sheetViews>
    <sheetView showGridLines="0" workbookViewId="0">
      <selection activeCell="A1" sqref="A1"/>
    </sheetView>
  </sheetViews>
  <sheetFormatPr baseColWidth="8" defaultRowHeight="15"/>
  <cols>
    <col width="2" customWidth="1" min="1" max="1"/>
    <col width="26" customWidth="1" min="2" max="2"/>
    <col width="9" customWidth="1" min="3" max="3"/>
    <col width="11" customWidth="1" min="4" max="4"/>
    <col width="9" customWidth="1" min="5" max="5"/>
    <col width="9" customWidth="1" min="6" max="6"/>
    <col width="9" customWidth="1" min="7" max="7"/>
    <col width="9" customWidth="1" min="8" max="8"/>
  </cols>
  <sheetData>
    <row r="1"/>
    <row r="2">
      <c r="B2" s="23" t="inlineStr">
        <is>
          <t>Test execution summary</t>
        </is>
      </c>
    </row>
    <row r="3">
      <c r="B3" s="24" t="inlineStr">
        <is>
          <t>Live totals from the Test Plan sheet. Do not edit.</t>
        </is>
      </c>
    </row>
    <row r="4"/>
    <row r="5">
      <c r="B5" s="25" t="inlineStr">
        <is>
          <t>Status</t>
        </is>
      </c>
      <c r="C5" s="25" t="inlineStr">
        <is>
          <t>Count</t>
        </is>
      </c>
      <c r="D5" s="25" t="inlineStr">
        <is>
          <t>% of total</t>
        </is>
      </c>
    </row>
    <row r="6">
      <c r="B6" s="26" t="inlineStr">
        <is>
          <t>Pass</t>
        </is>
      </c>
      <c r="C6" s="27">
        <f>COUNTIF('Test Plan'!$H$2:$H$304,"Pass")</f>
        <v/>
      </c>
      <c r="D6" s="28">
        <f>IFERROR(C6/$C$11,0)</f>
        <v/>
      </c>
    </row>
    <row r="7">
      <c r="B7" s="29" t="inlineStr">
        <is>
          <t>Fail</t>
        </is>
      </c>
      <c r="C7" s="27">
        <f>COUNTIF('Test Plan'!$H$2:$H$304,"Fail")</f>
        <v/>
      </c>
      <c r="D7" s="28">
        <f>IFERROR(C7/$C$11,0)</f>
        <v/>
      </c>
    </row>
    <row r="8">
      <c r="B8" s="30" t="inlineStr">
        <is>
          <t>Blocked</t>
        </is>
      </c>
      <c r="C8" s="27">
        <f>COUNTIF('Test Plan'!$H$2:$H$304,"Blocked")</f>
        <v/>
      </c>
      <c r="D8" s="28">
        <f>IFERROR(C8/$C$11,0)</f>
        <v/>
      </c>
    </row>
    <row r="9">
      <c r="B9" s="31" t="inlineStr">
        <is>
          <t>Not run</t>
        </is>
      </c>
      <c r="C9" s="27">
        <f>COUNTIF('Test Plan'!$H$2:$H$304,"Not run")</f>
        <v/>
      </c>
      <c r="D9" s="28">
        <f>IFERROR(C9/$C$11,0)</f>
        <v/>
      </c>
    </row>
    <row r="10">
      <c r="B10" s="32" t="inlineStr">
        <is>
          <t>N/A</t>
        </is>
      </c>
      <c r="C10" s="27">
        <f>COUNTIF('Test Plan'!$H$2:$H$304,"N/A")</f>
        <v/>
      </c>
      <c r="D10" s="28">
        <f>IFERROR(C10/$C$11,0)</f>
        <v/>
      </c>
    </row>
    <row r="11">
      <c r="B11" s="33" t="inlineStr">
        <is>
          <t>Total cases</t>
        </is>
      </c>
      <c r="C11" s="34">
        <f>COUNTA('Test Plan'!$B$2:$B$304)</f>
        <v/>
      </c>
      <c r="D11" s="35" t="n"/>
    </row>
    <row r="12"/>
    <row r="13">
      <c r="B13" s="4" t="inlineStr">
        <is>
          <t>Tested (excl. Not run)</t>
        </is>
      </c>
      <c r="C13" s="36">
        <f>C6+C7+C8+C10</f>
        <v/>
      </c>
    </row>
    <row r="14">
      <c r="B14" s="4" t="inlineStr">
        <is>
          <t>Pass rate (of executed Pass/Fail)</t>
        </is>
      </c>
      <c r="C14" s="37">
        <f>IFERROR(C6/(C6+C7),0)</f>
        <v/>
      </c>
    </row>
    <row r="15"/>
    <row r="16">
      <c r="B16" s="6" t="inlineStr">
        <is>
          <t>By suite</t>
        </is>
      </c>
    </row>
    <row r="17">
      <c r="B17" s="38" t="inlineStr">
        <is>
          <t>Suite</t>
        </is>
      </c>
      <c r="C17" s="38" t="inlineStr">
        <is>
          <t>Cases</t>
        </is>
      </c>
      <c r="D17" s="38" t="inlineStr">
        <is>
          <t>Pass</t>
        </is>
      </c>
      <c r="E17" s="38" t="inlineStr">
        <is>
          <t>Fail</t>
        </is>
      </c>
      <c r="F17" s="38" t="inlineStr">
        <is>
          <t>Blocked</t>
        </is>
      </c>
      <c r="G17" s="38" t="inlineStr">
        <is>
          <t>Not run</t>
        </is>
      </c>
      <c r="H17" s="38" t="inlineStr">
        <is>
          <t>N/A</t>
        </is>
      </c>
    </row>
    <row r="18">
      <c r="B18" s="39" t="inlineStr">
        <is>
          <t>0 Setup</t>
        </is>
      </c>
      <c r="C18" s="27">
        <f>COUNTIF('Test Plan'!$A$2:$A$304,"0 Setup")</f>
        <v/>
      </c>
      <c r="D18" s="27">
        <f>COUNTIFS('Test Plan'!$A$2:$A$304,"0 Setup",'Test Plan'!$H$2:$H$304,"Pass")</f>
        <v/>
      </c>
      <c r="E18" s="27">
        <f>COUNTIFS('Test Plan'!$A$2:$A$304,"0 Setup",'Test Plan'!$H$2:$H$304,"Fail")</f>
        <v/>
      </c>
      <c r="F18" s="27">
        <f>COUNTIFS('Test Plan'!$A$2:$A$304,"0 Setup",'Test Plan'!$H$2:$H$304,"Blocked")</f>
        <v/>
      </c>
      <c r="G18" s="27">
        <f>COUNTIFS('Test Plan'!$A$2:$A$304,"0 Setup",'Test Plan'!$H$2:$H$304,"Not run")</f>
        <v/>
      </c>
      <c r="H18" s="27">
        <f>COUNTIFS('Test Plan'!$A$2:$A$304,"0 Setup",'Test Plan'!$H$2:$H$304,"N/A")</f>
        <v/>
      </c>
    </row>
    <row r="19">
      <c r="B19" s="39" t="inlineStr">
        <is>
          <t>1 Access &amp; security</t>
        </is>
      </c>
      <c r="C19" s="27">
        <f>COUNTIF('Test Plan'!$A$2:$A$304,"1 Access &amp; security")</f>
        <v/>
      </c>
      <c r="D19" s="27">
        <f>COUNTIFS('Test Plan'!$A$2:$A$304,"1 Access &amp; security",'Test Plan'!$H$2:$H$304,"Pass")</f>
        <v/>
      </c>
      <c r="E19" s="27">
        <f>COUNTIFS('Test Plan'!$A$2:$A$304,"1 Access &amp; security",'Test Plan'!$H$2:$H$304,"Fail")</f>
        <v/>
      </c>
      <c r="F19" s="27">
        <f>COUNTIFS('Test Plan'!$A$2:$A$304,"1 Access &amp; security",'Test Plan'!$H$2:$H$304,"Blocked")</f>
        <v/>
      </c>
      <c r="G19" s="27">
        <f>COUNTIFS('Test Plan'!$A$2:$A$304,"1 Access &amp; security",'Test Plan'!$H$2:$H$304,"Not run")</f>
        <v/>
      </c>
      <c r="H19" s="27">
        <f>COUNTIFS('Test Plan'!$A$2:$A$304,"1 Access &amp; security",'Test Plan'!$H$2:$H$304,"N/A")</f>
        <v/>
      </c>
    </row>
    <row r="20">
      <c r="B20" s="39" t="inlineStr">
        <is>
          <t>2 Multi-tenancy</t>
        </is>
      </c>
      <c r="C20" s="27">
        <f>COUNTIF('Test Plan'!$A$2:$A$304,"2 Multi-tenancy")</f>
        <v/>
      </c>
      <c r="D20" s="27">
        <f>COUNTIFS('Test Plan'!$A$2:$A$304,"2 Multi-tenancy",'Test Plan'!$H$2:$H$304,"Pass")</f>
        <v/>
      </c>
      <c r="E20" s="27">
        <f>COUNTIFS('Test Plan'!$A$2:$A$304,"2 Multi-tenancy",'Test Plan'!$H$2:$H$304,"Fail")</f>
        <v/>
      </c>
      <c r="F20" s="27">
        <f>COUNTIFS('Test Plan'!$A$2:$A$304,"2 Multi-tenancy",'Test Plan'!$H$2:$H$304,"Blocked")</f>
        <v/>
      </c>
      <c r="G20" s="27">
        <f>COUNTIFS('Test Plan'!$A$2:$A$304,"2 Multi-tenancy",'Test Plan'!$H$2:$H$304,"Not run")</f>
        <v/>
      </c>
      <c r="H20" s="27">
        <f>COUNTIFS('Test Plan'!$A$2:$A$304,"2 Multi-tenancy",'Test Plan'!$H$2:$H$304,"N/A")</f>
        <v/>
      </c>
    </row>
    <row r="21">
      <c r="B21" s="39" t="inlineStr">
        <is>
          <t>3 Tickets</t>
        </is>
      </c>
      <c r="C21" s="27">
        <f>COUNTIF('Test Plan'!$A$2:$A$304,"3 Tickets")</f>
        <v/>
      </c>
      <c r="D21" s="27">
        <f>COUNTIFS('Test Plan'!$A$2:$A$304,"3 Tickets",'Test Plan'!$H$2:$H$304,"Pass")</f>
        <v/>
      </c>
      <c r="E21" s="27">
        <f>COUNTIFS('Test Plan'!$A$2:$A$304,"3 Tickets",'Test Plan'!$H$2:$H$304,"Fail")</f>
        <v/>
      </c>
      <c r="F21" s="27">
        <f>COUNTIFS('Test Plan'!$A$2:$A$304,"3 Tickets",'Test Plan'!$H$2:$H$304,"Blocked")</f>
        <v/>
      </c>
      <c r="G21" s="27">
        <f>COUNTIFS('Test Plan'!$A$2:$A$304,"3 Tickets",'Test Plan'!$H$2:$H$304,"Not run")</f>
        <v/>
      </c>
      <c r="H21" s="27">
        <f>COUNTIFS('Test Plan'!$A$2:$A$304,"3 Tickets",'Test Plan'!$H$2:$H$304,"N/A")</f>
        <v/>
      </c>
    </row>
    <row r="22">
      <c r="B22" s="39" t="inlineStr">
        <is>
          <t>4 SLA &amp; snapshot</t>
        </is>
      </c>
      <c r="C22" s="27">
        <f>COUNTIF('Test Plan'!$A$2:$A$304,"4 SLA &amp; snapshot")</f>
        <v/>
      </c>
      <c r="D22" s="27">
        <f>COUNTIFS('Test Plan'!$A$2:$A$304,"4 SLA &amp; snapshot",'Test Plan'!$H$2:$H$304,"Pass")</f>
        <v/>
      </c>
      <c r="E22" s="27">
        <f>COUNTIFS('Test Plan'!$A$2:$A$304,"4 SLA &amp; snapshot",'Test Plan'!$H$2:$H$304,"Fail")</f>
        <v/>
      </c>
      <c r="F22" s="27">
        <f>COUNTIFS('Test Plan'!$A$2:$A$304,"4 SLA &amp; snapshot",'Test Plan'!$H$2:$H$304,"Blocked")</f>
        <v/>
      </c>
      <c r="G22" s="27">
        <f>COUNTIFS('Test Plan'!$A$2:$A$304,"4 SLA &amp; snapshot",'Test Plan'!$H$2:$H$304,"Not run")</f>
        <v/>
      </c>
      <c r="H22" s="27">
        <f>COUNTIFS('Test Plan'!$A$2:$A$304,"4 SLA &amp; snapshot",'Test Plan'!$H$2:$H$304,"N/A")</f>
        <v/>
      </c>
    </row>
    <row r="23">
      <c r="B23" s="39" t="inlineStr">
        <is>
          <t>5 Reporting</t>
        </is>
      </c>
      <c r="C23" s="27">
        <f>COUNTIF('Test Plan'!$A$2:$A$304,"5 Reporting")</f>
        <v/>
      </c>
      <c r="D23" s="27">
        <f>COUNTIFS('Test Plan'!$A$2:$A$304,"5 Reporting",'Test Plan'!$H$2:$H$304,"Pass")</f>
        <v/>
      </c>
      <c r="E23" s="27">
        <f>COUNTIFS('Test Plan'!$A$2:$A$304,"5 Reporting",'Test Plan'!$H$2:$H$304,"Fail")</f>
        <v/>
      </c>
      <c r="F23" s="27">
        <f>COUNTIFS('Test Plan'!$A$2:$A$304,"5 Reporting",'Test Plan'!$H$2:$H$304,"Blocked")</f>
        <v/>
      </c>
      <c r="G23" s="27">
        <f>COUNTIFS('Test Plan'!$A$2:$A$304,"5 Reporting",'Test Plan'!$H$2:$H$304,"Not run")</f>
        <v/>
      </c>
      <c r="H23" s="27">
        <f>COUNTIFS('Test Plan'!$A$2:$A$304,"5 Reporting",'Test Plan'!$H$2:$H$304,"N/A")</f>
        <v/>
      </c>
    </row>
    <row r="24">
      <c r="B24" s="39" t="inlineStr">
        <is>
          <t>6 Assets</t>
        </is>
      </c>
      <c r="C24" s="27">
        <f>COUNTIF('Test Plan'!$A$2:$A$304,"6 Assets")</f>
        <v/>
      </c>
      <c r="D24" s="27">
        <f>COUNTIFS('Test Plan'!$A$2:$A$304,"6 Assets",'Test Plan'!$H$2:$H$304,"Pass")</f>
        <v/>
      </c>
      <c r="E24" s="27">
        <f>COUNTIFS('Test Plan'!$A$2:$A$304,"6 Assets",'Test Plan'!$H$2:$H$304,"Fail")</f>
        <v/>
      </c>
      <c r="F24" s="27">
        <f>COUNTIFS('Test Plan'!$A$2:$A$304,"6 Assets",'Test Plan'!$H$2:$H$304,"Blocked")</f>
        <v/>
      </c>
      <c r="G24" s="27">
        <f>COUNTIFS('Test Plan'!$A$2:$A$304,"6 Assets",'Test Plan'!$H$2:$H$304,"Not run")</f>
        <v/>
      </c>
      <c r="H24" s="27">
        <f>COUNTIFS('Test Plan'!$A$2:$A$304,"6 Assets",'Test Plan'!$H$2:$H$304,"N/A")</f>
        <v/>
      </c>
    </row>
    <row r="25">
      <c r="B25" s="39" t="inlineStr">
        <is>
          <t>7 Software</t>
        </is>
      </c>
      <c r="C25" s="27">
        <f>COUNTIF('Test Plan'!$A$2:$A$304,"7 Software")</f>
        <v/>
      </c>
      <c r="D25" s="27">
        <f>COUNTIFS('Test Plan'!$A$2:$A$304,"7 Software",'Test Plan'!$H$2:$H$304,"Pass")</f>
        <v/>
      </c>
      <c r="E25" s="27">
        <f>COUNTIFS('Test Plan'!$A$2:$A$304,"7 Software",'Test Plan'!$H$2:$H$304,"Fail")</f>
        <v/>
      </c>
      <c r="F25" s="27">
        <f>COUNTIFS('Test Plan'!$A$2:$A$304,"7 Software",'Test Plan'!$H$2:$H$304,"Blocked")</f>
        <v/>
      </c>
      <c r="G25" s="27">
        <f>COUNTIFS('Test Plan'!$A$2:$A$304,"7 Software",'Test Plan'!$H$2:$H$304,"Not run")</f>
        <v/>
      </c>
      <c r="H25" s="27">
        <f>COUNTIFS('Test Plan'!$A$2:$A$304,"7 Software",'Test Plan'!$H$2:$H$304,"N/A")</f>
        <v/>
      </c>
    </row>
    <row r="26">
      <c r="B26" s="39" t="inlineStr">
        <is>
          <t>8 Changes</t>
        </is>
      </c>
      <c r="C26" s="27">
        <f>COUNTIF('Test Plan'!$A$2:$A$304,"8 Changes")</f>
        <v/>
      </c>
      <c r="D26" s="27">
        <f>COUNTIFS('Test Plan'!$A$2:$A$304,"8 Changes",'Test Plan'!$H$2:$H$304,"Pass")</f>
        <v/>
      </c>
      <c r="E26" s="27">
        <f>COUNTIFS('Test Plan'!$A$2:$A$304,"8 Changes",'Test Plan'!$H$2:$H$304,"Fail")</f>
        <v/>
      </c>
      <c r="F26" s="27">
        <f>COUNTIFS('Test Plan'!$A$2:$A$304,"8 Changes",'Test Plan'!$H$2:$H$304,"Blocked")</f>
        <v/>
      </c>
      <c r="G26" s="27">
        <f>COUNTIFS('Test Plan'!$A$2:$A$304,"8 Changes",'Test Plan'!$H$2:$H$304,"Not run")</f>
        <v/>
      </c>
      <c r="H26" s="27">
        <f>COUNTIFS('Test Plan'!$A$2:$A$304,"8 Changes",'Test Plan'!$H$2:$H$304,"N/A")</f>
        <v/>
      </c>
    </row>
    <row r="27">
      <c r="B27" s="39" t="inlineStr">
        <is>
          <t>9 Problems</t>
        </is>
      </c>
      <c r="C27" s="27">
        <f>COUNTIF('Test Plan'!$A$2:$A$304,"9 Problems")</f>
        <v/>
      </c>
      <c r="D27" s="27">
        <f>COUNTIFS('Test Plan'!$A$2:$A$304,"9 Problems",'Test Plan'!$H$2:$H$304,"Pass")</f>
        <v/>
      </c>
      <c r="E27" s="27">
        <f>COUNTIFS('Test Plan'!$A$2:$A$304,"9 Problems",'Test Plan'!$H$2:$H$304,"Fail")</f>
        <v/>
      </c>
      <c r="F27" s="27">
        <f>COUNTIFS('Test Plan'!$A$2:$A$304,"9 Problems",'Test Plan'!$H$2:$H$304,"Blocked")</f>
        <v/>
      </c>
      <c r="G27" s="27">
        <f>COUNTIFS('Test Plan'!$A$2:$A$304,"9 Problems",'Test Plan'!$H$2:$H$304,"Not run")</f>
        <v/>
      </c>
      <c r="H27" s="27">
        <f>COUNTIFS('Test Plan'!$A$2:$A$304,"9 Problems",'Test Plan'!$H$2:$H$304,"N/A")</f>
        <v/>
      </c>
    </row>
    <row r="28">
      <c r="B28" s="39" t="inlineStr">
        <is>
          <t>10 CMDB</t>
        </is>
      </c>
      <c r="C28" s="27">
        <f>COUNTIF('Test Plan'!$A$2:$A$304,"10 CMDB")</f>
        <v/>
      </c>
      <c r="D28" s="27">
        <f>COUNTIFS('Test Plan'!$A$2:$A$304,"10 CMDB",'Test Plan'!$H$2:$H$304,"Pass")</f>
        <v/>
      </c>
      <c r="E28" s="27">
        <f>COUNTIFS('Test Plan'!$A$2:$A$304,"10 CMDB",'Test Plan'!$H$2:$H$304,"Fail")</f>
        <v/>
      </c>
      <c r="F28" s="27">
        <f>COUNTIFS('Test Plan'!$A$2:$A$304,"10 CMDB",'Test Plan'!$H$2:$H$304,"Blocked")</f>
        <v/>
      </c>
      <c r="G28" s="27">
        <f>COUNTIFS('Test Plan'!$A$2:$A$304,"10 CMDB",'Test Plan'!$H$2:$H$304,"Not run")</f>
        <v/>
      </c>
      <c r="H28" s="27">
        <f>COUNTIFS('Test Plan'!$A$2:$A$304,"10 CMDB",'Test Plan'!$H$2:$H$304,"N/A")</f>
        <v/>
      </c>
    </row>
    <row r="29">
      <c r="B29" s="39" t="inlineStr">
        <is>
          <t>11 Contracts</t>
        </is>
      </c>
      <c r="C29" s="27">
        <f>COUNTIF('Test Plan'!$A$2:$A$304,"11 Contracts")</f>
        <v/>
      </c>
      <c r="D29" s="27">
        <f>COUNTIFS('Test Plan'!$A$2:$A$304,"11 Contracts",'Test Plan'!$H$2:$H$304,"Pass")</f>
        <v/>
      </c>
      <c r="E29" s="27">
        <f>COUNTIFS('Test Plan'!$A$2:$A$304,"11 Contracts",'Test Plan'!$H$2:$H$304,"Fail")</f>
        <v/>
      </c>
      <c r="F29" s="27">
        <f>COUNTIFS('Test Plan'!$A$2:$A$304,"11 Contracts",'Test Plan'!$H$2:$H$304,"Blocked")</f>
        <v/>
      </c>
      <c r="G29" s="27">
        <f>COUNTIFS('Test Plan'!$A$2:$A$304,"11 Contracts",'Test Plan'!$H$2:$H$304,"Not run")</f>
        <v/>
      </c>
      <c r="H29" s="27">
        <f>COUNTIFS('Test Plan'!$A$2:$A$304,"11 Contracts",'Test Plan'!$H$2:$H$304,"N/A")</f>
        <v/>
      </c>
    </row>
    <row r="30">
      <c r="B30" s="39" t="inlineStr">
        <is>
          <t>12 Other modules</t>
        </is>
      </c>
      <c r="C30" s="27">
        <f>COUNTIF('Test Plan'!$A$2:$A$304,"12 Other modules")</f>
        <v/>
      </c>
      <c r="D30" s="27">
        <f>COUNTIFS('Test Plan'!$A$2:$A$304,"12 Other modules",'Test Plan'!$H$2:$H$304,"Pass")</f>
        <v/>
      </c>
      <c r="E30" s="27">
        <f>COUNTIFS('Test Plan'!$A$2:$A$304,"12 Other modules",'Test Plan'!$H$2:$H$304,"Fail")</f>
        <v/>
      </c>
      <c r="F30" s="27">
        <f>COUNTIFS('Test Plan'!$A$2:$A$304,"12 Other modules",'Test Plan'!$H$2:$H$304,"Blocked")</f>
        <v/>
      </c>
      <c r="G30" s="27">
        <f>COUNTIFS('Test Plan'!$A$2:$A$304,"12 Other modules",'Test Plan'!$H$2:$H$304,"Not run")</f>
        <v/>
      </c>
      <c r="H30" s="27">
        <f>COUNTIFS('Test Plan'!$A$2:$A$304,"12 Other modules",'Test Plan'!$H$2:$H$304,"N/A")</f>
        <v/>
      </c>
    </row>
    <row r="31">
      <c r="B31" s="39" t="inlineStr">
        <is>
          <t>13 Workflow</t>
        </is>
      </c>
      <c r="C31" s="27">
        <f>COUNTIF('Test Plan'!$A$2:$A$304,"13 Workflow")</f>
        <v/>
      </c>
      <c r="D31" s="27">
        <f>COUNTIFS('Test Plan'!$A$2:$A$304,"13 Workflow",'Test Plan'!$H$2:$H$304,"Pass")</f>
        <v/>
      </c>
      <c r="E31" s="27">
        <f>COUNTIFS('Test Plan'!$A$2:$A$304,"13 Workflow",'Test Plan'!$H$2:$H$304,"Fail")</f>
        <v/>
      </c>
      <c r="F31" s="27">
        <f>COUNTIFS('Test Plan'!$A$2:$A$304,"13 Workflow",'Test Plan'!$H$2:$H$304,"Blocked")</f>
        <v/>
      </c>
      <c r="G31" s="27">
        <f>COUNTIFS('Test Plan'!$A$2:$A$304,"13 Workflow",'Test Plan'!$H$2:$H$304,"Not run")</f>
        <v/>
      </c>
      <c r="H31" s="27">
        <f>COUNTIFS('Test Plan'!$A$2:$A$304,"13 Workflow",'Test Plan'!$H$2:$H$304,"N/A")</f>
        <v/>
      </c>
    </row>
    <row r="32">
      <c r="B32" s="39" t="inlineStr">
        <is>
          <t>14 Overtime</t>
        </is>
      </c>
      <c r="C32" s="27">
        <f>COUNTIF('Test Plan'!$A$2:$A$304,"14 Overtime")</f>
        <v/>
      </c>
      <c r="D32" s="27">
        <f>COUNTIFS('Test Plan'!$A$2:$A$304,"14 Overtime",'Test Plan'!$H$2:$H$304,"Pass")</f>
        <v/>
      </c>
      <c r="E32" s="27">
        <f>COUNTIFS('Test Plan'!$A$2:$A$304,"14 Overtime",'Test Plan'!$H$2:$H$304,"Fail")</f>
        <v/>
      </c>
      <c r="F32" s="27">
        <f>COUNTIFS('Test Plan'!$A$2:$A$304,"14 Overtime",'Test Plan'!$H$2:$H$304,"Blocked")</f>
        <v/>
      </c>
      <c r="G32" s="27">
        <f>COUNTIFS('Test Plan'!$A$2:$A$304,"14 Overtime",'Test Plan'!$H$2:$H$304,"Not run")</f>
        <v/>
      </c>
      <c r="H32" s="27">
        <f>COUNTIFS('Test Plan'!$A$2:$A$304,"14 Overtime",'Test Plan'!$H$2:$H$304,"N/A")</f>
        <v/>
      </c>
    </row>
    <row r="33">
      <c r="B33" s="39" t="inlineStr">
        <is>
          <t>15 System admin</t>
        </is>
      </c>
      <c r="C33" s="27">
        <f>COUNTIF('Test Plan'!$A$2:$A$304,"15 System admin")</f>
        <v/>
      </c>
      <c r="D33" s="27">
        <f>COUNTIFS('Test Plan'!$A$2:$A$304,"15 System admin",'Test Plan'!$H$2:$H$304,"Pass")</f>
        <v/>
      </c>
      <c r="E33" s="27">
        <f>COUNTIFS('Test Plan'!$A$2:$A$304,"15 System admin",'Test Plan'!$H$2:$H$304,"Fail")</f>
        <v/>
      </c>
      <c r="F33" s="27">
        <f>COUNTIFS('Test Plan'!$A$2:$A$304,"15 System admin",'Test Plan'!$H$2:$H$304,"Blocked")</f>
        <v/>
      </c>
      <c r="G33" s="27">
        <f>COUNTIFS('Test Plan'!$A$2:$A$304,"15 System admin",'Test Plan'!$H$2:$H$304,"Not run")</f>
        <v/>
      </c>
      <c r="H33" s="27">
        <f>COUNTIFS('Test Plan'!$A$2:$A$304,"15 System admin",'Test Plan'!$H$2:$H$304,"N/A")</f>
        <v/>
      </c>
    </row>
    <row r="34">
      <c r="B34" s="39" t="inlineStr">
        <is>
          <t>16 REST API</t>
        </is>
      </c>
      <c r="C34" s="27">
        <f>COUNTIF('Test Plan'!$A$2:$A$304,"16 REST API")</f>
        <v/>
      </c>
      <c r="D34" s="27">
        <f>COUNTIFS('Test Plan'!$A$2:$A$304,"16 REST API",'Test Plan'!$H$2:$H$304,"Pass")</f>
        <v/>
      </c>
      <c r="E34" s="27">
        <f>COUNTIFS('Test Plan'!$A$2:$A$304,"16 REST API",'Test Plan'!$H$2:$H$304,"Fail")</f>
        <v/>
      </c>
      <c r="F34" s="27">
        <f>COUNTIFS('Test Plan'!$A$2:$A$304,"16 REST API",'Test Plan'!$H$2:$H$304,"Blocked")</f>
        <v/>
      </c>
      <c r="G34" s="27">
        <f>COUNTIFS('Test Plan'!$A$2:$A$304,"16 REST API",'Test Plan'!$H$2:$H$304,"Not run")</f>
        <v/>
      </c>
      <c r="H34" s="27">
        <f>COUNTIFS('Test Plan'!$A$2:$A$304,"16 REST API",'Test Plan'!$H$2:$H$304,"N/A")</f>
        <v/>
      </c>
    </row>
    <row r="35">
      <c r="B35" s="39" t="inlineStr">
        <is>
          <t>17 Cron jobs</t>
        </is>
      </c>
      <c r="C35" s="27">
        <f>COUNTIF('Test Plan'!$A$2:$A$304,"17 Cron jobs")</f>
        <v/>
      </c>
      <c r="D35" s="27">
        <f>COUNTIFS('Test Plan'!$A$2:$A$304,"17 Cron jobs",'Test Plan'!$H$2:$H$304,"Pass")</f>
        <v/>
      </c>
      <c r="E35" s="27">
        <f>COUNTIFS('Test Plan'!$A$2:$A$304,"17 Cron jobs",'Test Plan'!$H$2:$H$304,"Fail")</f>
        <v/>
      </c>
      <c r="F35" s="27">
        <f>COUNTIFS('Test Plan'!$A$2:$A$304,"17 Cron jobs",'Test Plan'!$H$2:$H$304,"Blocked")</f>
        <v/>
      </c>
      <c r="G35" s="27">
        <f>COUNTIFS('Test Plan'!$A$2:$A$304,"17 Cron jobs",'Test Plan'!$H$2:$H$304,"Not run")</f>
        <v/>
      </c>
      <c r="H35" s="27">
        <f>COUNTIFS('Test Plan'!$A$2:$A$304,"17 Cron jobs",'Test Plan'!$H$2:$H$304,"N/A")</f>
        <v/>
      </c>
    </row>
    <row r="36">
      <c r="B36" s="39" t="inlineStr">
        <is>
          <t>18 Regression</t>
        </is>
      </c>
      <c r="C36" s="27">
        <f>COUNTIF('Test Plan'!$A$2:$A$304,"18 Regression")</f>
        <v/>
      </c>
      <c r="D36" s="27">
        <f>COUNTIFS('Test Plan'!$A$2:$A$304,"18 Regression",'Test Plan'!$H$2:$H$304,"Pass")</f>
        <v/>
      </c>
      <c r="E36" s="27">
        <f>COUNTIFS('Test Plan'!$A$2:$A$304,"18 Regression",'Test Plan'!$H$2:$H$304,"Fail")</f>
        <v/>
      </c>
      <c r="F36" s="27">
        <f>COUNTIFS('Test Plan'!$A$2:$A$304,"18 Regression",'Test Plan'!$H$2:$H$304,"Blocked")</f>
        <v/>
      </c>
      <c r="G36" s="27">
        <f>COUNTIFS('Test Plan'!$A$2:$A$304,"18 Regression",'Test Plan'!$H$2:$H$304,"Not run")</f>
        <v/>
      </c>
      <c r="H36" s="27">
        <f>COUNTIFS('Test Plan'!$A$2:$A$304,"18 Regression",'Test Plan'!$H$2:$H$304,"N/A")</f>
        <v/>
      </c>
    </row>
    <row r="37">
      <c r="B37" s="39" t="inlineStr">
        <is>
          <t>19 KPIs</t>
        </is>
      </c>
      <c r="C37" s="27">
        <f>COUNTIF('Test Plan'!$A$2:$A$304,"19 KPIs")</f>
        <v/>
      </c>
      <c r="D37" s="27">
        <f>COUNTIFS('Test Plan'!$A$2:$A$304,"19 KPIs",'Test Plan'!$H$2:$H$304,"Pass")</f>
        <v/>
      </c>
      <c r="E37" s="27">
        <f>COUNTIFS('Test Plan'!$A$2:$A$304,"19 KPIs",'Test Plan'!$H$2:$H$304,"Fail")</f>
        <v/>
      </c>
      <c r="F37" s="27">
        <f>COUNTIFS('Test Plan'!$A$2:$A$304,"19 KPIs",'Test Plan'!$H$2:$H$304,"Blocked")</f>
        <v/>
      </c>
      <c r="G37" s="27">
        <f>COUNTIFS('Test Plan'!$A$2:$A$304,"19 KPIs",'Test Plan'!$H$2:$H$304,"Not run")</f>
        <v/>
      </c>
      <c r="H37" s="27">
        <f>COUNTIFS('Test Plan'!$A$2:$A$304,"19 KPIs",'Test Plan'!$H$2:$H$304,"N/A")</f>
        <v/>
      </c>
    </row>
    <row r="38">
      <c r="B38" s="39" t="inlineStr">
        <is>
          <t>20 Customers</t>
        </is>
      </c>
      <c r="C38" s="27">
        <f>COUNTIF('Test Plan'!$A$2:$A$304,"20 Customers")</f>
        <v/>
      </c>
      <c r="D38" s="27">
        <f>COUNTIFS('Test Plan'!$A$2:$A$304,"20 Customers",'Test Plan'!$H$2:$H$304,"Pass")</f>
        <v/>
      </c>
      <c r="E38" s="27">
        <f>COUNTIFS('Test Plan'!$A$2:$A$304,"20 Customers",'Test Plan'!$H$2:$H$304,"Fail")</f>
        <v/>
      </c>
      <c r="F38" s="27">
        <f>COUNTIFS('Test Plan'!$A$2:$A$304,"20 Customers",'Test Plan'!$H$2:$H$304,"Blocked")</f>
        <v/>
      </c>
      <c r="G38" s="27">
        <f>COUNTIFS('Test Plan'!$A$2:$A$304,"20 Customers",'Test Plan'!$H$2:$H$304,"Not run")</f>
        <v/>
      </c>
      <c r="H38" s="27">
        <f>COUNTIFS('Test Plan'!$A$2:$A$304,"20 Customers",'Test Plan'!$H$2:$H$304,"N/A")</f>
        <v/>
      </c>
    </row>
    <row r="39">
      <c r="B39" s="39" t="inlineStr">
        <is>
          <t>21 Data export</t>
        </is>
      </c>
      <c r="C39" s="27">
        <f>COUNTIF('Test Plan'!$A$2:$A$304,"21 Data export")</f>
        <v/>
      </c>
      <c r="D39" s="27">
        <f>COUNTIFS('Test Plan'!$A$2:$A$304,"21 Data export",'Test Plan'!$H$2:$H$304,"Pass")</f>
        <v/>
      </c>
      <c r="E39" s="27">
        <f>COUNTIFS('Test Plan'!$A$2:$A$304,"21 Data export",'Test Plan'!$H$2:$H$304,"Fail")</f>
        <v/>
      </c>
      <c r="F39" s="27">
        <f>COUNTIFS('Test Plan'!$A$2:$A$304,"21 Data export",'Test Plan'!$H$2:$H$304,"Blocked")</f>
        <v/>
      </c>
      <c r="G39" s="27">
        <f>COUNTIFS('Test Plan'!$A$2:$A$304,"21 Data export",'Test Plan'!$H$2:$H$304,"Not run")</f>
        <v/>
      </c>
      <c r="H39" s="27">
        <f>COUNTIFS('Test Plan'!$A$2:$A$304,"21 Data export",'Test Plan'!$H$2:$H$304,"N/A")</f>
        <v/>
      </c>
    </row>
    <row r="40">
      <c r="B40" s="39" t="inlineStr">
        <is>
          <t>22 Training &amp; certs</t>
        </is>
      </c>
      <c r="C40" s="27">
        <f>COUNTIF('Test Plan'!$A$2:$A$304,"22 Training &amp; certs")</f>
        <v/>
      </c>
      <c r="D40" s="27">
        <f>COUNTIFS('Test Plan'!$A$2:$A$304,"22 Training &amp; certs",'Test Plan'!$H$2:$H$304,"Pass")</f>
        <v/>
      </c>
      <c r="E40" s="27">
        <f>COUNTIFS('Test Plan'!$A$2:$A$304,"22 Training &amp; certs",'Test Plan'!$H$2:$H$304,"Fail")</f>
        <v/>
      </c>
      <c r="F40" s="27">
        <f>COUNTIFS('Test Plan'!$A$2:$A$304,"22 Training &amp; certs",'Test Plan'!$H$2:$H$304,"Blocked")</f>
        <v/>
      </c>
      <c r="G40" s="27">
        <f>COUNTIFS('Test Plan'!$A$2:$A$304,"22 Training &amp; certs",'Test Plan'!$H$2:$H$304,"Not run")</f>
        <v/>
      </c>
      <c r="H40" s="27">
        <f>COUNTIFS('Test Plan'!$A$2:$A$304,"22 Training &amp; certs",'Test Plan'!$H$2:$H$304,"N/A")</f>
        <v/>
      </c>
    </row>
    <row r="41">
      <c r="B41" s="39" t="inlineStr">
        <is>
          <t>23 Dev journal</t>
        </is>
      </c>
      <c r="C41" s="27">
        <f>COUNTIF('Test Plan'!$A$2:$A$304,"23 Dev journal")</f>
        <v/>
      </c>
      <c r="D41" s="27">
        <f>COUNTIFS('Test Plan'!$A$2:$A$304,"23 Dev journal",'Test Plan'!$H$2:$H$304,"Pass")</f>
        <v/>
      </c>
      <c r="E41" s="27">
        <f>COUNTIFS('Test Plan'!$A$2:$A$304,"23 Dev journal",'Test Plan'!$H$2:$H$304,"Fail")</f>
        <v/>
      </c>
      <c r="F41" s="27">
        <f>COUNTIFS('Test Plan'!$A$2:$A$304,"23 Dev journal",'Test Plan'!$H$2:$H$304,"Blocked")</f>
        <v/>
      </c>
      <c r="G41" s="27">
        <f>COUNTIFS('Test Plan'!$A$2:$A$304,"23 Dev journal",'Test Plan'!$H$2:$H$304,"Not run")</f>
        <v/>
      </c>
      <c r="H41" s="27">
        <f>COUNTIFS('Test Plan'!$A$2:$A$304,"23 Dev journal",'Test Plan'!$H$2:$H$304,"N/A")</f>
        <v/>
      </c>
    </row>
    <row r="42">
      <c r="B42" s="39" t="inlineStr">
        <is>
          <t>24 Mass import</t>
        </is>
      </c>
      <c r="C42" s="27">
        <f>COUNTIF('Test Plan'!$A$2:$A$304,"24 Mass import")</f>
        <v/>
      </c>
      <c r="D42" s="27">
        <f>COUNTIFS('Test Plan'!$A$2:$A$304,"24 Mass import",'Test Plan'!$H$2:$H$304,"Pass")</f>
        <v/>
      </c>
      <c r="E42" s="27">
        <f>COUNTIFS('Test Plan'!$A$2:$A$304,"24 Mass import",'Test Plan'!$H$2:$H$304,"Fail")</f>
        <v/>
      </c>
      <c r="F42" s="27">
        <f>COUNTIFS('Test Plan'!$A$2:$A$304,"24 Mass import",'Test Plan'!$H$2:$H$304,"Blocked")</f>
        <v/>
      </c>
      <c r="G42" s="27">
        <f>COUNTIFS('Test Plan'!$A$2:$A$304,"24 Mass import",'Test Plan'!$H$2:$H$304,"Not run")</f>
        <v/>
      </c>
      <c r="H42" s="27">
        <f>COUNTIFS('Test Plan'!$A$2:$A$304,"24 Mass import",'Test Plan'!$H$2:$H$304,"N/A")</f>
        <v/>
      </c>
    </row>
    <row r="43">
      <c r="B43" s="39" t="inlineStr">
        <is>
          <t>25 Reset data</t>
        </is>
      </c>
      <c r="C43" s="27">
        <f>COUNTIF('Test Plan'!$A$2:$A$304,"25 Reset data")</f>
        <v/>
      </c>
      <c r="D43" s="27">
        <f>COUNTIFS('Test Plan'!$A$2:$A$304,"25 Reset data",'Test Plan'!$H$2:$H$304,"Pass")</f>
        <v/>
      </c>
      <c r="E43" s="27">
        <f>COUNTIFS('Test Plan'!$A$2:$A$304,"25 Reset data",'Test Plan'!$H$2:$H$304,"Fail")</f>
        <v/>
      </c>
      <c r="F43" s="27">
        <f>COUNTIFS('Test Plan'!$A$2:$A$304,"25 Reset data",'Test Plan'!$H$2:$H$304,"Blocked")</f>
        <v/>
      </c>
      <c r="G43" s="27">
        <f>COUNTIFS('Test Plan'!$A$2:$A$304,"25 Reset data",'Test Plan'!$H$2:$H$304,"Not run")</f>
        <v/>
      </c>
      <c r="H43" s="27">
        <f>COUNTIFS('Test Plan'!$A$2:$A$304,"25 Reset data",'Test Plan'!$H$2:$H$304,"N/A")</f>
        <v/>
      </c>
    </row>
    <row r="44">
      <c r="B44" s="39" t="inlineStr">
        <is>
          <t>26 Reading pane</t>
        </is>
      </c>
      <c r="C44" s="27">
        <f>COUNTIF('Test Plan'!$A$2:$A$304,"26 Reading pane")</f>
        <v/>
      </c>
      <c r="D44" s="27">
        <f>COUNTIFS('Test Plan'!$A$2:$A$304,"26 Reading pane",'Test Plan'!$H$2:$H$304,"Pass")</f>
        <v/>
      </c>
      <c r="E44" s="27">
        <f>COUNTIFS('Test Plan'!$A$2:$A$304,"26 Reading pane",'Test Plan'!$H$2:$H$304,"Fail")</f>
        <v/>
      </c>
      <c r="F44" s="27">
        <f>COUNTIFS('Test Plan'!$A$2:$A$304,"26 Reading pane",'Test Plan'!$H$2:$H$304,"Blocked")</f>
        <v/>
      </c>
      <c r="G44" s="27">
        <f>COUNTIFS('Test Plan'!$A$2:$A$304,"26 Reading pane",'Test Plan'!$H$2:$H$304,"Not run")</f>
        <v/>
      </c>
      <c r="H44" s="27">
        <f>COUNTIFS('Test Plan'!$A$2:$A$304,"26 Reading pane",'Test Plan'!$H$2:$H$304,"N/A")</f>
        <v/>
      </c>
    </row>
    <row r="45">
      <c r="B45" s="39" t="inlineStr">
        <is>
          <t>27 Time tracking</t>
        </is>
      </c>
      <c r="C45" s="27">
        <f>COUNTIF('Test Plan'!$A$2:$A$304,"27 Time tracking")</f>
        <v/>
      </c>
      <c r="D45" s="27">
        <f>COUNTIFS('Test Plan'!$A$2:$A$304,"27 Time tracking",'Test Plan'!$H$2:$H$304,"Pass")</f>
        <v/>
      </c>
      <c r="E45" s="27">
        <f>COUNTIFS('Test Plan'!$A$2:$A$304,"27 Time tracking",'Test Plan'!$H$2:$H$304,"Fail")</f>
        <v/>
      </c>
      <c r="F45" s="27">
        <f>COUNTIFS('Test Plan'!$A$2:$A$304,"27 Time tracking",'Test Plan'!$H$2:$H$304,"Blocked")</f>
        <v/>
      </c>
      <c r="G45" s="27">
        <f>COUNTIFS('Test Plan'!$A$2:$A$304,"27 Time tracking",'Test Plan'!$H$2:$H$304,"Not run")</f>
        <v/>
      </c>
      <c r="H45" s="27">
        <f>COUNTIFS('Test Plan'!$A$2:$A$304,"27 Time tracking",'Test Plan'!$H$2:$H$304,"N/A")</f>
        <v/>
      </c>
    </row>
    <row r="46">
      <c r="B46" s="39" t="inlineStr">
        <is>
          <t>28 Categories &amp; types</t>
        </is>
      </c>
      <c r="C46" s="27">
        <f>COUNTIF('Test Plan'!$A$2:$A$304,"28 Categories &amp; types")</f>
        <v/>
      </c>
      <c r="D46" s="27">
        <f>COUNTIFS('Test Plan'!$A$2:$A$304,"28 Categories &amp; types",'Test Plan'!$H$2:$H$304,"Pass")</f>
        <v/>
      </c>
      <c r="E46" s="27">
        <f>COUNTIFS('Test Plan'!$A$2:$A$304,"28 Categories &amp; types",'Test Plan'!$H$2:$H$304,"Fail")</f>
        <v/>
      </c>
      <c r="F46" s="27">
        <f>COUNTIFS('Test Plan'!$A$2:$A$304,"28 Categories &amp; types",'Test Plan'!$H$2:$H$304,"Blocked")</f>
        <v/>
      </c>
      <c r="G46" s="27">
        <f>COUNTIFS('Test Plan'!$A$2:$A$304,"28 Categories &amp; types",'Test Plan'!$H$2:$H$304,"Not run")</f>
        <v/>
      </c>
      <c r="H46" s="27">
        <f>COUNTIFS('Test Plan'!$A$2:$A$304,"28 Categories &amp; types",'Test Plan'!$H$2:$H$304,"N/A")</f>
        <v/>
      </c>
    </row>
    <row r="47">
      <c r="B47" s="39" t="inlineStr">
        <is>
          <t>29 Customer contacts</t>
        </is>
      </c>
      <c r="C47" s="27">
        <f>COUNTIF('Test Plan'!$A$2:$A$304,"29 Customer contacts")</f>
        <v/>
      </c>
      <c r="D47" s="27">
        <f>COUNTIFS('Test Plan'!$A$2:$A$304,"29 Customer contacts",'Test Plan'!$H$2:$H$304,"Pass")</f>
        <v/>
      </c>
      <c r="E47" s="27">
        <f>COUNTIFS('Test Plan'!$A$2:$A$304,"29 Customer contacts",'Test Plan'!$H$2:$H$304,"Fail")</f>
        <v/>
      </c>
      <c r="F47" s="27">
        <f>COUNTIFS('Test Plan'!$A$2:$A$304,"29 Customer contacts",'Test Plan'!$H$2:$H$304,"Blocked")</f>
        <v/>
      </c>
      <c r="G47" s="27">
        <f>COUNTIFS('Test Plan'!$A$2:$A$304,"29 Customer contacts",'Test Plan'!$H$2:$H$304,"Not run")</f>
        <v/>
      </c>
      <c r="H47" s="27">
        <f>COUNTIFS('Test Plan'!$A$2:$A$304,"29 Customer contacts",'Test Plan'!$H$2:$H$304,"N/A")</f>
        <v/>
      </c>
    </row>
    <row r="48">
      <c r="B48" s="39" t="inlineStr">
        <is>
          <t>30 Portal users</t>
        </is>
      </c>
      <c r="C48" s="27">
        <f>COUNTIF('Test Plan'!$A$2:$A$304,"30 Portal users")</f>
        <v/>
      </c>
      <c r="D48" s="27">
        <f>COUNTIFS('Test Plan'!$A$2:$A$304,"30 Portal users",'Test Plan'!$H$2:$H$304,"Pass")</f>
        <v/>
      </c>
      <c r="E48" s="27">
        <f>COUNTIFS('Test Plan'!$A$2:$A$304,"30 Portal users",'Test Plan'!$H$2:$H$304,"Fail")</f>
        <v/>
      </c>
      <c r="F48" s="27">
        <f>COUNTIFS('Test Plan'!$A$2:$A$304,"30 Portal users",'Test Plan'!$H$2:$H$304,"Blocked")</f>
        <v/>
      </c>
      <c r="G48" s="27">
        <f>COUNTIFS('Test Plan'!$A$2:$A$304,"30 Portal users",'Test Plan'!$H$2:$H$304,"Not run")</f>
        <v/>
      </c>
      <c r="H48" s="27">
        <f>COUNTIFS('Test Plan'!$A$2:$A$304,"30 Portal users",'Test Plan'!$H$2:$H$304,"N/A")</f>
        <v/>
      </c>
    </row>
    <row r="49">
      <c r="B49" s="39" t="inlineStr">
        <is>
          <t>31 Knowledge KPIs</t>
        </is>
      </c>
      <c r="C49" s="27">
        <f>COUNTIF('Test Plan'!$A$2:$A$304,"31 Knowledge KPIs")</f>
        <v/>
      </c>
      <c r="D49" s="27">
        <f>COUNTIFS('Test Plan'!$A$2:$A$304,"31 Knowledge KPIs",'Test Plan'!$H$2:$H$304,"Pass")</f>
        <v/>
      </c>
      <c r="E49" s="27">
        <f>COUNTIFS('Test Plan'!$A$2:$A$304,"31 Knowledge KPIs",'Test Plan'!$H$2:$H$304,"Fail")</f>
        <v/>
      </c>
      <c r="F49" s="27">
        <f>COUNTIFS('Test Plan'!$A$2:$A$304,"31 Knowledge KPIs",'Test Plan'!$H$2:$H$304,"Blocked")</f>
        <v/>
      </c>
      <c r="G49" s="27">
        <f>COUNTIFS('Test Plan'!$A$2:$A$304,"31 Knowledge KPIs",'Test Plan'!$H$2:$H$304,"Not run")</f>
        <v/>
      </c>
      <c r="H49" s="27">
        <f>COUNTIFS('Test Plan'!$A$2:$A$304,"31 Knowledge KPIs",'Test Plan'!$H$2:$H$304,"N/A")</f>
        <v/>
      </c>
    </row>
    <row r="50">
      <c r="B50" s="39" t="inlineStr">
        <is>
          <t>32 BI export</t>
        </is>
      </c>
      <c r="C50" s="27">
        <f>COUNTIF('Test Plan'!$A$2:$A$304,"32 BI export")</f>
        <v/>
      </c>
      <c r="D50" s="27">
        <f>COUNTIFS('Test Plan'!$A$2:$A$304,"32 BI export",'Test Plan'!$H$2:$H$304,"Pass")</f>
        <v/>
      </c>
      <c r="E50" s="27">
        <f>COUNTIFS('Test Plan'!$A$2:$A$304,"32 BI export",'Test Plan'!$H$2:$H$304,"Fail")</f>
        <v/>
      </c>
      <c r="F50" s="27">
        <f>COUNTIFS('Test Plan'!$A$2:$A$304,"32 BI export",'Test Plan'!$H$2:$H$304,"Blocked")</f>
        <v/>
      </c>
      <c r="G50" s="27">
        <f>COUNTIFS('Test Plan'!$A$2:$A$304,"32 BI export",'Test Plan'!$H$2:$H$304,"Not run")</f>
        <v/>
      </c>
      <c r="H50" s="27">
        <f>COUNTIFS('Test Plan'!$A$2:$A$304,"32 BI export",'Test Plan'!$H$2:$H$304,"N/A")</f>
        <v/>
      </c>
    </row>
    <row r="51">
      <c r="B51" s="39" t="inlineStr">
        <is>
          <t>33 Demo history</t>
        </is>
      </c>
      <c r="C51" s="27">
        <f>COUNTIF('Test Plan'!$A$2:$A$304,"33 Demo history")</f>
        <v/>
      </c>
      <c r="D51" s="27">
        <f>COUNTIFS('Test Plan'!$A$2:$A$304,"33 Demo history",'Test Plan'!$H$2:$H$304,"Pass")</f>
        <v/>
      </c>
      <c r="E51" s="27">
        <f>COUNTIFS('Test Plan'!$A$2:$A$304,"33 Demo history",'Test Plan'!$H$2:$H$304,"Fail")</f>
        <v/>
      </c>
      <c r="F51" s="27">
        <f>COUNTIFS('Test Plan'!$A$2:$A$304,"33 Demo history",'Test Plan'!$H$2:$H$304,"Blocked")</f>
        <v/>
      </c>
      <c r="G51" s="27">
        <f>COUNTIFS('Test Plan'!$A$2:$A$304,"33 Demo history",'Test Plan'!$H$2:$H$304,"Not run")</f>
        <v/>
      </c>
      <c r="H51" s="27">
        <f>COUNTIFS('Test Plan'!$A$2:$A$304,"33 Demo history",'Test Plan'!$H$2:$H$304,"N/A")</f>
        <v/>
      </c>
    </row>
    <row r="52">
      <c r="B52" s="39" t="inlineStr">
        <is>
          <t>34 Migration</t>
        </is>
      </c>
      <c r="C52" s="27">
        <f>COUNTIF('Test Plan'!$A$2:$A$304,"34 Migration")</f>
        <v/>
      </c>
      <c r="D52" s="27">
        <f>COUNTIFS('Test Plan'!$A$2:$A$304,"34 Migration",'Test Plan'!$H$2:$H$304,"Pass")</f>
        <v/>
      </c>
      <c r="E52" s="27">
        <f>COUNTIFS('Test Plan'!$A$2:$A$304,"34 Migration",'Test Plan'!$H$2:$H$304,"Fail")</f>
        <v/>
      </c>
      <c r="F52" s="27">
        <f>COUNTIFS('Test Plan'!$A$2:$A$304,"34 Migration",'Test Plan'!$H$2:$H$304,"Blocked")</f>
        <v/>
      </c>
      <c r="G52" s="27">
        <f>COUNTIFS('Test Plan'!$A$2:$A$304,"34 Migration",'Test Plan'!$H$2:$H$304,"Not run")</f>
        <v/>
      </c>
      <c r="H52" s="27">
        <f>COUNTIFS('Test Plan'!$A$2:$A$304,"34 Migration",'Test Plan'!$H$2:$H$304,"N/A")</f>
        <v/>
      </c>
    </row>
    <row r="53">
      <c r="B53" s="39" t="inlineStr">
        <is>
          <t>35 Inbound webhooks</t>
        </is>
      </c>
      <c r="C53" s="27">
        <f>COUNTIF('Test Plan'!$A$2:$A$304,"35 Inbound webhooks")</f>
        <v/>
      </c>
      <c r="D53" s="27">
        <f>COUNTIFS('Test Plan'!$A$2:$A$304,"35 Inbound webhooks",'Test Plan'!$H$2:$H$304,"Pass")</f>
        <v/>
      </c>
      <c r="E53" s="27">
        <f>COUNTIFS('Test Plan'!$A$2:$A$304,"35 Inbound webhooks",'Test Plan'!$H$2:$H$304,"Fail")</f>
        <v/>
      </c>
      <c r="F53" s="27">
        <f>COUNTIFS('Test Plan'!$A$2:$A$304,"35 Inbound webhooks",'Test Plan'!$H$2:$H$304,"Blocked")</f>
        <v/>
      </c>
      <c r="G53" s="27">
        <f>COUNTIFS('Test Plan'!$A$2:$A$304,"35 Inbound webhooks",'Test Plan'!$H$2:$H$304,"Not run")</f>
        <v/>
      </c>
      <c r="H53" s="27">
        <f>COUNTIFS('Test Plan'!$A$2:$A$304,"35 Inbound webhooks",'Test Plan'!$H$2:$H$304,"N/A")</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2" customWidth="1" min="1" max="1"/>
    <col width="24" customWidth="1" min="2" max="2"/>
    <col width="110" customWidth="1" min="3" max="3"/>
  </cols>
  <sheetData>
    <row r="2">
      <c r="B2" s="40" t="inlineStr">
        <is>
          <t>Original functionality (baseline before this cycle)</t>
        </is>
      </c>
    </row>
    <row r="4">
      <c r="B4" s="25" t="inlineStr">
        <is>
          <t>Module / area</t>
        </is>
      </c>
      <c r="C4" s="25" t="inlineStr">
        <is>
          <t>Capabilities</t>
        </is>
      </c>
    </row>
    <row r="5">
      <c r="B5" s="41" t="inlineStr">
        <is>
          <t>Tickets &amp; service desk</t>
        </is>
      </c>
      <c r="C5" s="13" t="inlineStr">
        <is>
          <t>Multi-mailbox email intake (Graph/Gmail/IMAP) + manual create; statuses/priorities/types/categories/subcategories; custom fields; multi-policy SLA (per company + per primary CMDB device) with business calendars; shared filter engine + saved queues + ad-hoc bar; canned responses, merge, bulk actions, round-robin/load-balanced auto-assign, tags, watchers, time entries, CSAT; service catalog + attached forms + approvals; portal self-service, KB deflection, per-company branding, announcements.</t>
        </is>
      </c>
    </row>
    <row r="6">
      <c r="B6" s="41" t="inlineStr">
        <is>
          <t>Assets &amp; software</t>
        </is>
      </c>
      <c r="C6" s="13" t="inlineStr">
        <is>
          <t>Asset inventory + agent sync; types/statuses/locations; user assignment + checkout; warranty; vCenter + Intune; per-module dashboards. Software inventory + licences (qty/cost/renewal); software dashboard with drill-down.</t>
        </is>
      </c>
    </row>
    <row r="7">
      <c r="B7" s="41" t="inlineStr">
        <is>
          <t>Changes</t>
        </is>
      </c>
      <c r="C7" s="13" t="inlineStr">
        <is>
          <t>CAB approvals, change calendar, risk scoring (likelihood x impact), field layout, statuses/types/priorities/impacts.</t>
        </is>
      </c>
    </row>
    <row r="8">
      <c r="B8" s="41" t="inlineStr">
        <is>
          <t>Problems</t>
        </is>
      </c>
      <c r="C8" s="13" t="inlineStr">
        <is>
          <t>KEDB with ticket/change linking, notes, audit.</t>
        </is>
      </c>
    </row>
    <row r="9">
      <c r="B9" s="41" t="inlineStr">
        <is>
          <t>CMDB</t>
        </is>
      </c>
      <c r="C9" s="13" t="inlineStr">
        <is>
          <t>Configuration items, classes, relationships, impact/blast-radius analysis.</t>
        </is>
      </c>
    </row>
    <row r="10">
      <c r="B10" s="41" t="inlineStr">
        <is>
          <t>Contracts</t>
        </is>
      </c>
      <c r="C10" s="13" t="inlineStr">
        <is>
          <t>Suppliers + contacts, contract terms tabs, payment schedules, RFP builder (AI), renewal reminders.</t>
        </is>
      </c>
    </row>
    <row r="11">
      <c r="B11" s="41" t="inlineStr">
        <is>
          <t>Knowledge base</t>
        </is>
      </c>
      <c r="C11" s="13" t="inlineStr">
        <is>
          <t>Versioning, draft&gt;review&gt;approve, 'was this helpful' ratings, AI webchat deflection.</t>
        </is>
      </c>
    </row>
    <row r="12">
      <c r="B12" s="41" t="inlineStr">
        <is>
          <t>Forms &amp; tasks</t>
        </is>
      </c>
      <c r="C12" s="13" t="inlineStr">
        <is>
          <t>Versioned forms + submissions; Tasks (kanban/list/calendar); Calendar; Morning checks.</t>
        </is>
      </c>
    </row>
    <row r="13">
      <c r="B13" s="41" t="inlineStr">
        <is>
          <t>Visualisation</t>
        </is>
      </c>
      <c r="C13" s="13" t="inlineStr">
        <is>
          <t>Wiki (codebase docs), LMS (SCORM), Process mapper, Network mapper, Watchtower cross-module dashboard.</t>
        </is>
      </c>
    </row>
    <row r="14">
      <c r="B14" s="41" t="inlineStr">
        <is>
          <t>Reporting</t>
        </is>
      </c>
      <c r="C14" s="13" t="inlineStr">
        <is>
          <t>System logs, per-module ticket dashboards, Intune reporting, ad-hoc ticket report builder (grouping + CSV).</t>
        </is>
      </c>
    </row>
    <row r="15">
      <c r="B15" s="41" t="inlineStr">
        <is>
          <t>Workflow &amp; automation</t>
        </is>
      </c>
      <c r="C15" s="13" t="inlineStr">
        <is>
          <t>Triggers/conditions/actions; outbound webhooks with delivery log + replay; time-based triggers (contract &amp; warranty expiry).</t>
        </is>
      </c>
    </row>
    <row r="16">
      <c r="B16" s="41" t="inlineStr">
        <is>
          <t>Platform &amp; admin</t>
        </is>
      </c>
      <c r="C16" s="13" t="inlineStr">
        <is>
          <t>Analysts, teams, RBAC roles, module access, companies/multi-tenancy, OIDC SSO, MFA/TOTP, encryption key mgmt, API keys, REST API v1, branding, colours, DB verification, topology.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31"/>
  <sheetViews>
    <sheetView showGridLines="0" workbookViewId="0">
      <selection activeCell="A1" sqref="A1"/>
    </sheetView>
  </sheetViews>
  <sheetFormatPr baseColWidth="8" defaultRowHeight="15"/>
  <cols>
    <col width="2" customWidth="1" min="1" max="1"/>
    <col width="8" customWidth="1" min="2" max="2"/>
    <col width="26" customWidth="1" min="3" max="3"/>
    <col width="55" customWidth="1" min="4" max="4"/>
    <col width="55" customWidth="1" min="5" max="5"/>
  </cols>
  <sheetData>
    <row r="2">
      <c r="B2" s="40" t="inlineStr">
        <is>
          <t>Added this cycle (Phases 8-11, KPI, Customers, polish, export &amp; LMS)</t>
        </is>
      </c>
    </row>
    <row r="4">
      <c r="B4" s="42" t="inlineStr">
        <is>
          <t>Phase</t>
        </is>
      </c>
      <c r="C4" s="42" t="inlineStr">
        <is>
          <t>Feature</t>
        </is>
      </c>
      <c r="D4" s="42" t="inlineStr">
        <is>
          <t>What it does</t>
        </is>
      </c>
      <c r="E4" s="42" t="inlineStr">
        <is>
          <t>Key surfaces</t>
        </is>
      </c>
    </row>
    <row r="5">
      <c r="B5" s="43" t="inlineStr">
        <is>
          <t>8a</t>
        </is>
      </c>
      <c r="C5" s="44" t="inlineStr">
        <is>
          <t>SLA snapshot cache</t>
        </is>
      </c>
      <c r="D5" s="13" t="inlineStr">
        <is>
          <t>Per-ticket cached SLA state so met/breached is filterable &amp; reportable.</t>
        </is>
      </c>
      <c r="E5" s="45" t="inlineStr">
        <is>
          <t>ticket_sla_snapshot; breach cron + close-path stamp; rebuild cron; SLA-state filter; SLA-outcome report dims</t>
        </is>
      </c>
    </row>
    <row r="6">
      <c r="B6" s="43" t="inlineStr">
        <is>
          <t>8b</t>
        </is>
      </c>
      <c r="C6" s="44" t="inlineStr">
        <is>
          <t>Scheduled &amp; emailed reports</t>
        </is>
      </c>
      <c r="D6" s="13" t="inlineStr">
        <is>
          <t>Saved report (group-by + filters) runs on a cadence and emails CSV + summary.</t>
        </is>
      </c>
      <c r="E6" s="45" t="inlineStr">
        <is>
          <t>scheduled_report; includes/ticket_report.php; cron/scheduled_reports.php; Schedule UI</t>
        </is>
      </c>
    </row>
    <row r="7">
      <c r="B7" s="43" t="inlineStr">
        <is>
          <t>8c</t>
        </is>
      </c>
      <c r="C7" s="44" t="inlineStr">
        <is>
          <t>Executive dashboard</t>
        </is>
      </c>
      <c r="D7" s="13" t="inlineStr">
        <is>
          <t>Curated cross-module KPI view.</t>
        </is>
      </c>
      <c r="E7" s="45" t="inlineStr">
        <is>
          <t>reporting/executive/; get_exec_dashboard_data.php</t>
        </is>
      </c>
    </row>
    <row r="8">
      <c r="B8" s="43" t="inlineStr">
        <is>
          <t>9a</t>
        </is>
      </c>
      <c r="C8" s="44" t="inlineStr">
        <is>
          <t>Licence compliance</t>
        </is>
      </c>
      <c r="D8" s="13" t="inlineStr">
        <is>
          <t>Installed vs entitled true-up; over/under-deployment; renewal reminders.</t>
        </is>
      </c>
      <c r="E8" s="45" t="inlineStr">
        <is>
          <t>software/compliance/; get_licence_compliance.php; licence.expiring cron case</t>
        </is>
      </c>
    </row>
    <row r="9">
      <c r="B9" s="43" t="inlineStr">
        <is>
          <t>9b</t>
        </is>
      </c>
      <c r="C9" s="44" t="inlineStr">
        <is>
          <t>Change freeze windows</t>
        </is>
      </c>
      <c r="D9" s="13" t="inlineStr">
        <is>
          <t>Blackout periods; soft warning on schedule/approve; emergency exempt.</t>
        </is>
      </c>
      <c r="E9" s="45" t="inlineStr">
        <is>
          <t>change_freeze_windows; change-management/freeze/; calendar panel; save warning</t>
        </is>
      </c>
    </row>
    <row r="10">
      <c r="B10" s="43" t="inlineStr">
        <is>
          <t>9c</t>
        </is>
      </c>
      <c r="C10" s="44" t="inlineStr">
        <is>
          <t>CMDB-driven change risk</t>
        </is>
      </c>
      <c r="D10" s="13" t="inlineStr">
        <is>
          <t>Link affected CIs; downstream impact -&gt; suggested risk impact.</t>
        </is>
      </c>
      <c r="E10" s="45" t="inlineStr">
        <is>
          <t>change_cmdb_objects; get_change_impact.php; Affected CIs panel</t>
        </is>
      </c>
    </row>
    <row r="11">
      <c r="B11" s="43" t="inlineStr">
        <is>
          <t>9d</t>
        </is>
      </c>
      <c r="C11" s="44" t="inlineStr">
        <is>
          <t>Contract -&gt; asset coverage</t>
        </is>
      </c>
      <c r="D11" s="13" t="inlineStr">
        <is>
          <t>Which assets a contract covers + reverse lookup.</t>
        </is>
      </c>
      <c r="E11" s="45" t="inlineStr">
        <is>
          <t>contract_assets; Covered assets panel; get_asset_contracts.php</t>
        </is>
      </c>
    </row>
    <row r="12">
      <c r="B12" s="43" t="inlineStr">
        <is>
          <t>9e</t>
        </is>
      </c>
      <c r="C12" s="44" t="inlineStr">
        <is>
          <t>Asset lifecycle EOL</t>
        </is>
      </c>
      <c r="D12" s="13" t="inlineStr">
        <is>
          <t>EOL/disposal fields + eol_approaching reminder.</t>
        </is>
      </c>
      <c r="E12" s="45" t="inlineStr">
        <is>
          <t>assets.end_of_life_date/disposal_*; asset detail; asset.eol_approaching cron case</t>
        </is>
      </c>
    </row>
    <row r="13">
      <c r="B13" s="43" t="inlineStr">
        <is>
          <t>10a</t>
        </is>
      </c>
      <c r="C13" s="44" t="inlineStr">
        <is>
          <t>Unified audit log</t>
        </is>
      </c>
      <c r="D13" s="13" t="inlineStr">
        <is>
          <t>Read-only aggregator across module audit trails + CSV.</t>
        </is>
      </c>
      <c r="E13" s="45" t="inlineStr">
        <is>
          <t>system/audit/; get_audit_log.php</t>
        </is>
      </c>
    </row>
    <row r="14">
      <c r="B14" s="43" t="inlineStr">
        <is>
          <t>10b</t>
        </is>
      </c>
      <c r="C14" s="44" t="inlineStr">
        <is>
          <t>Backup + CSV import/export</t>
        </is>
      </c>
      <c r="D14" s="13" t="inlineStr">
        <is>
          <t>Streaming DB backup; CSV export/import for assets &amp; users (preview&gt;commit).</t>
        </is>
      </c>
      <c r="E14" s="45" t="inlineStr">
        <is>
          <t>system/backup/; backup_database.php; export_entity.php; import_entity.php</t>
        </is>
      </c>
    </row>
    <row r="15">
      <c r="B15" s="43" t="inlineStr">
        <is>
          <t>10e</t>
        </is>
      </c>
      <c r="C15" s="44" t="inlineStr">
        <is>
          <t>Multi-tenancy audit</t>
        </is>
      </c>
      <c r="D15" s="13" t="inlineStr">
        <is>
          <t>Closed 11 cross-company data leaks (changes/assets/problems, UI + REST).</t>
        </is>
      </c>
      <c r="E15" s="45" t="inlineStr">
        <is>
          <t>scoping fixes across change/problem/software/contract/API endpoints</t>
        </is>
      </c>
    </row>
    <row r="16">
      <c r="B16" s="43" t="inlineStr">
        <is>
          <t>11</t>
        </is>
      </c>
      <c r="C16" s="44" t="inlineStr">
        <is>
          <t>Overtime module (new)</t>
        </is>
      </c>
      <c r="D16" s="13" t="inlineStr">
        <is>
          <t>Submit -&gt; line-manager approve -&gt; payroll report + CSV.</t>
        </is>
      </c>
      <c r="E16" s="45" t="inlineStr">
        <is>
          <t>overtime/; overtime_requests/audit/settings; analysts.manager_id</t>
        </is>
      </c>
    </row>
    <row r="17">
      <c r="B17" s="43" t="inlineStr">
        <is>
          <t>K0</t>
        </is>
      </c>
      <c r="C17" s="44" t="inlineStr">
        <is>
          <t>KPI scorecards (new module)</t>
        </is>
      </c>
      <c r="D17" s="13" t="inlineStr">
        <is>
          <t>Catalog of 69 NOC-framework metrics with monthly measurements: RAG, 6-month sparklines, source badges, manual entry, CSV import/export, review cadence.</t>
        </is>
      </c>
      <c r="E17" s="45" t="inlineStr">
        <is>
          <t>kpi/; kpi_definitions; kpi_measurements; includes/kpi.php; api/kpi/*</t>
        </is>
      </c>
    </row>
    <row r="18">
      <c r="B18" s="43" t="inlineStr">
        <is>
          <t>K1</t>
        </is>
      </c>
      <c r="C18" s="44" t="inlineStr">
        <is>
          <t>KPI instrumentation</t>
        </is>
      </c>
      <c r="D18" s="13" t="inlineStr">
        <is>
          <t>Tier on analysts; NOC/SOC streams; first-ack time; escalations, hold intervals and QA reviews captured as tickets change.</t>
        </is>
      </c>
      <c r="E18" s="45" t="inlineStr">
        <is>
          <t>analysts.tier; ticket_streams; tickets.stream_id/playbook_eligible/acknowledged_datetime; ticket_escalations/hold_events/qa_reviews; includes/kpi_instrument.php; reading-pane capture</t>
        </is>
      </c>
    </row>
    <row r="19">
      <c r="B19" s="43" t="inlineStr">
        <is>
          <t>K2</t>
        </is>
      </c>
      <c r="C19" s="44" t="inlineStr">
        <is>
          <t>KPI compute engine</t>
        </is>
      </c>
      <c r="D19" s="13" t="inlineStr">
        <is>
          <t>Auto-computes ~30 metrics per tier per month from freeitsm data; external feeds stay manual/imported.</t>
        </is>
      </c>
      <c r="E19" s="45" t="inlineStr">
        <is>
          <t>includes/kpi_engine.php; cron/kpi_snapshot.php ([kpi-snapshot] marker)</t>
        </is>
      </c>
    </row>
    <row r="20">
      <c r="B20" s="43" t="inlineStr">
        <is>
          <t>K3</t>
        </is>
      </c>
      <c r="C20" s="44" t="inlineStr">
        <is>
          <t>Cost &amp; capacity KPIs</t>
        </is>
      </c>
      <c r="D20" s="13" t="inlineStr">
        <is>
          <t>Loaded rate + contracted hours -&gt; cost per ticket, utilisation, tickets/FTE, out-of-hours rate, CSAT.</t>
        </is>
      </c>
      <c r="E20" s="45" t="inlineStr">
        <is>
          <t>analysts.loaded_rate/contracted_weekly_hours; engine cases</t>
        </is>
      </c>
    </row>
    <row r="21">
      <c r="B21" s="43" t="inlineStr">
        <is>
          <t>Cust</t>
        </is>
      </c>
      <c r="C21" s="44" t="inlineStr">
        <is>
          <t>Customers module (new)</t>
        </is>
      </c>
      <c r="D21" s="13" t="inlineStr">
        <is>
          <t>Customer accounts with a primary contact, optional company label, linked CMDB CIs, and a customer on the ticket.</t>
        </is>
      </c>
      <c r="E21" s="45" t="inlineStr">
        <is>
          <t>customers/; customers; customer_cmdb_objects; tickets.customer_id; reading-pane customer picker</t>
        </is>
      </c>
    </row>
    <row r="22">
      <c r="B22" s="43" t="inlineStr">
        <is>
          <t>Fix</t>
        </is>
      </c>
      <c r="C22" s="44" t="inlineStr">
        <is>
          <t>Problems: same-company change links</t>
        </is>
      </c>
      <c r="D22" s="13" t="inlineStr">
        <is>
          <t>ProblemsService::linkChange now enforces the actor's company scope and the same-company rule, closing the last Phase 10e gap.</t>
        </is>
      </c>
      <c r="E22" s="45" t="inlineStr">
        <is>
          <t>includes/services/problems.php (mirrors linkTicket)</t>
        </is>
      </c>
    </row>
    <row r="23">
      <c r="B23" s="43" t="inlineStr">
        <is>
          <t>Polish</t>
        </is>
      </c>
      <c r="C23" s="44" t="inlineStr">
        <is>
          <t>Report CSV as a real attachment</t>
        </is>
      </c>
      <c r="D23" s="13" t="inlineStr">
        <is>
          <t>Scheduled reports attach &lt;slug&gt;-date.csv instead of pasting CSV into the body; all three mail providers gained attachment support.</t>
        </is>
      </c>
      <c r="E23" s="45" t="inlineStr">
        <is>
          <t>mailer_send_html($attachments); Graph fileAttachment; Gmail + SMTP multipart/mixed; cron/scheduled_reports.php</t>
        </is>
      </c>
    </row>
    <row r="24">
      <c r="B24" s="43" t="inlineStr">
        <is>
          <t>Polish</t>
        </is>
      </c>
      <c r="C24" s="44" t="inlineStr">
        <is>
          <t>Contract service/SLA coverage</t>
        </is>
      </c>
      <c r="D24" s="13" t="inlineStr">
        <is>
          <t>service_hours / response_sla / resolution_sla / coverage_notes on a contract, plus an asset-side "Contract coverage" panel.</t>
        </is>
      </c>
      <c r="E24" s="45" t="inlineStr">
        <is>
          <t>contracts.* columns; contracts edit/view; REST coverage object; asset-management detail panel; get_asset_contracts.php</t>
        </is>
      </c>
    </row>
    <row r="25">
      <c r="B25" s="43" t="inlineStr">
        <is>
          <t>Polish</t>
        </is>
      </c>
      <c r="C25" s="44" t="inlineStr">
        <is>
          <t>Freeze scoping + calendar bands</t>
        </is>
      </c>
      <c r="D25" s="13" t="inlineStr">
        <is>
          <t>Freeze windows can be narrowed to change categories and/or companies (no rows = global); the calendar now bands the grid, not just the sidebar.</t>
        </is>
      </c>
      <c r="E25" s="45" t="inlineStr">
        <is>
          <t>change_freeze_scopes; includes/change_freeze.php; freeze admin multi-selects; change-calendar.js bands</t>
        </is>
      </c>
    </row>
    <row r="26">
      <c r="B26" s="43" t="inlineStr">
        <is>
          <t>Export</t>
        </is>
      </c>
      <c r="C26" s="44" t="inlineStr">
        <is>
          <t>Module data export</t>
        </is>
      </c>
      <c r="D26" s="13" t="inlineStr">
        <is>
          <t>Reporting &gt; Export: pick a module and dataset, optional date range, download CSV or JSON. ~27 datasets, columns read from the live schema, secrets filtered out.</t>
        </is>
      </c>
      <c r="E26" s="45" t="inlineStr">
        <is>
          <t>includes/data_export.php; api/export/{get_datasets,export_dataset}.php; reporting/export/</t>
        </is>
      </c>
    </row>
    <row r="27">
      <c r="B27" s="43" t="inlineStr">
        <is>
          <t>LMS</t>
        </is>
      </c>
      <c r="C27" s="44" t="inlineStr">
        <is>
          <t>Certifications &amp; training record</t>
        </is>
      </c>
      <c r="D27" s="13" t="inlineStr">
        <is>
          <t>Certification catalogue + per-analyst certifications with expiry, and a log of training completed outside the LMS, alongside internal course completions.</t>
        </is>
      </c>
      <c r="E27" s="45" t="inlineStr">
        <is>
          <t>lms_certifications; analyst_certifications; analyst_training_records; lms/training.php; certification.expiring reminder</t>
        </is>
      </c>
    </row>
    <row r="28">
      <c r="B28" s="43" t="inlineStr">
        <is>
          <t>LMS</t>
        </is>
      </c>
      <c r="C28" s="44" t="inlineStr">
        <is>
          <t>Development journal</t>
        </is>
      </c>
      <c r="D28" s="13" t="inlineStr">
        <is>
          <t>Private per-analyst training/development journal visible only to the analyst and their line manager; both can write, only the author can edit.</t>
        </is>
      </c>
      <c r="E28" s="45" t="inlineStr">
        <is>
          <t>analyst_journal_entries; lms/journal.php; lmsJournalCanAccess()</t>
        </is>
      </c>
    </row>
    <row r="29">
      <c r="B29" s="43" t="inlineStr">
        <is>
          <t>Import</t>
        </is>
      </c>
      <c r="C29" s="44" t="inlineStr">
        <is>
          <t>Mass import (all modules)</t>
        </is>
      </c>
      <c r="D29" s="13" t="inlineStr">
        <is>
          <t>System &gt; Mass import: 18 datasets, lookups resolved by name, preview then commit in one transaction, CSV templates per dataset.</t>
        </is>
      </c>
      <c r="E29" s="45" t="inlineStr">
        <is>
          <t>includes/data_import.php; api/import/{get_datasets,run_import,template}.php; system/import/</t>
        </is>
      </c>
    </row>
    <row r="30">
      <c r="B30" s="43" t="inlineStr">
        <is>
          <t>Demo</t>
        </is>
      </c>
      <c r="C30" s="44" t="inlineStr">
        <is>
          <t>Demo CSV bundle</t>
        </is>
      </c>
      <c r="D30" s="13" t="inlineStr">
        <is>
          <t>17 interlocking CSVs (~340 records) shaped to exercise reminder windows, lifecycle dates, SLA spread and expiry colours.</t>
        </is>
      </c>
      <c r="E30" s="45" t="inlineStr">
        <is>
          <t>database/demo-csv/ (+ README.md, generate.py)</t>
        </is>
      </c>
    </row>
    <row r="31">
      <c r="B31" s="43" t="inlineStr">
        <is>
          <t>Reset</t>
        </is>
      </c>
      <c r="C31" s="44" t="inlineStr">
        <is>
          <t>Reset data (wipe test data)</t>
        </is>
      </c>
      <c r="D31" s="13" t="inlineStr">
        <is>
          <t>17 groups of records deleted while configuration survives; preview + typed phrase; CLI twin with dry-run.</t>
        </is>
      </c>
      <c r="E31" s="45" t="inlineStr">
        <is>
          <t>includes/data_reset.php; api/system/{get_reset_groups,reset_data}.php; system/reset/; scripts/wipe-test-data.php; docs/reset-data.md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6"/>
  <sheetViews>
    <sheetView workbookViewId="0">
      <selection activeCell="A1" sqref="A1"/>
    </sheetView>
  </sheetViews>
  <sheetFormatPr baseColWidth="8" defaultRowHeight="15"/>
  <cols>
    <col width="3" customWidth="1" min="1" max="1"/>
    <col width="10" customWidth="1" min="2" max="2"/>
    <col width="30" customWidth="1" min="3" max="3"/>
    <col width="62" customWidth="1" min="4" max="4"/>
    <col width="62" customWidth="1" min="5" max="5"/>
  </cols>
  <sheetData>
    <row r="2">
      <c r="B2" s="40" t="inlineStr">
        <is>
          <t>Added after the 8-11 cycle (Phases 12-14, plus BI export, demo history, migration and inbound webhooks)</t>
        </is>
      </c>
    </row>
    <row r="4">
      <c r="B4" s="42" t="inlineStr">
        <is>
          <t>Phase</t>
        </is>
      </c>
      <c r="C4" s="42" t="inlineStr">
        <is>
          <t>Feature</t>
        </is>
      </c>
      <c r="D4" s="42" t="inlineStr">
        <is>
          <t>What it does</t>
        </is>
      </c>
      <c r="E4" s="42" t="inlineStr">
        <is>
          <t>Key surfaces</t>
        </is>
      </c>
    </row>
    <row r="5">
      <c r="B5" s="44" t="inlineStr">
        <is>
          <t>12a</t>
        </is>
      </c>
      <c r="C5" s="44" t="inlineStr">
        <is>
          <t>Collapsible reading-pane sections</t>
        </is>
      </c>
      <c r="D5" s="44" t="inlineStr">
        <is>
          <t>CMDB objects, custom fields, SLA, time and notes share one collapsible shell; each collapsed header carries a summary that still tells you something. State is remembered per section per analyst.</t>
        </is>
      </c>
      <c r="E5" s="44" t="inlineStr">
        <is>
          <t>assets/js/inbox.js (ticketSection helper); assets/css/inbox.css; localStorage ticketSection.*; pop-out overrides</t>
        </is>
      </c>
    </row>
    <row r="6">
      <c r="B6" s="44" t="inlineStr">
        <is>
          <t>12b</t>
        </is>
      </c>
      <c r="C6" s="44" t="inlineStr">
        <is>
          <t>Automatic time tracking</t>
        </is>
      </c>
      <c r="D6" s="44" t="inlineStr">
        <is>
          <t>The pane measures focused time and OFFERS it - a session is a proposal, never a posted entry. Hidden tabs and idle time past the threshold are not counted; each beat is clamped server-side.</t>
        </is>
      </c>
      <c r="E6" s="44" t="inlineStr">
        <is>
          <t>ticket_view_sessions; ticket_time_entries.source; includes/ticket_view_time.php; api/tickets/{ticket_heartbeat,resolve_view_time}.php; scripts/check-view-time.php; time_auto_* settings</t>
        </is>
      </c>
    </row>
    <row r="7">
      <c r="B7" s="44" t="inlineStr">
        <is>
          <t>12b</t>
        </is>
      </c>
      <c r="C7" s="44" t="inlineStr">
        <is>
          <t>Tracked time counts in cost KPIs</t>
        </is>
      </c>
      <c r="D7" s="44" t="inlineStr">
        <is>
          <t>Accepted tracked time feeds cost per ticket, utilisation, tickets per FTE and out-of-hours exactly like typed time; source remains a reporting label, not a filter.</t>
        </is>
      </c>
      <c r="E7" s="44" t="inlineStr">
        <is>
          <t>includes/kpi_engine.php (kpi_manual_time_filter removed)</t>
        </is>
      </c>
    </row>
    <row r="8">
      <c r="B8" s="44" t="inlineStr">
        <is>
          <t>12c</t>
        </is>
      </c>
      <c r="C8" s="44" t="inlineStr">
        <is>
          <t>Category hierarchy per ticket type</t>
        </is>
      </c>
      <c r="D8" s="44" t="inlineStr">
        <is>
          <t>A category may belong to one ticket type; NULL means every type, which is what every pre-12c category is. A type change under a scoped category clears it and says so; a named mismatch is refused.</t>
        </is>
      </c>
      <c r="E8" s="44" t="inlineStr">
        <is>
          <t>ticket_categories.ticket_type_id; includes/ticket_categories.php; get/save_ticket_category.php; TicketsService create+update; settings type picker; data_import row_checks</t>
        </is>
      </c>
    </row>
    <row r="9">
      <c r="B9" s="44" t="inlineStr">
        <is>
          <t>12c</t>
        </is>
      </c>
      <c r="C9" s="44" t="inlineStr">
        <is>
          <t>Event ticket type</t>
        </is>
      </c>
      <c r="D9" s="44" t="inlineStr">
        <is>
          <t>Joins Incident, Service Request and Question. Seeded once behind a marker so a deliberate deletion is respected.</t>
        </is>
      </c>
      <c r="E9" s="44" t="inlineStr">
        <is>
          <t>api/system/db_verify.php (ticket_type_event_seeded)</t>
        </is>
      </c>
    </row>
    <row r="10">
      <c r="B10" s="44" t="inlineStr">
        <is>
          <t>13a</t>
        </is>
      </c>
      <c r="C10" s="44" t="inlineStr">
        <is>
          <t>Customer contacts with a default</t>
        </is>
      </c>
      <c r="D10" s="44" t="inlineStr">
        <is>
          <t>A customer has many contacts, one default. customers.contact_* is KEPT as a mirror of that default and written in both directions, so exports, pickers and the importer needed no change.</t>
        </is>
      </c>
      <c r="E10" s="44" t="inlineStr">
        <is>
          <t>customer_contacts; tickets.customer_contact_id; includes/customer_contacts.php; api/customers/{get_contacts,save_contact,delete_contact,set_default_contact}.php; customers.js panel; reading-pane picker</t>
        </is>
      </c>
    </row>
    <row r="11">
      <c r="B11" s="44" t="inlineStr">
        <is>
          <t>13b</t>
        </is>
      </c>
      <c r="C11" s="44" t="inlineStr">
        <is>
          <t>Portal users linked to customers</t>
        </is>
      </c>
      <c r="D11" s="44" t="inlineStr">
        <is>
          <t>users.customer_id attributes a portal user to a customer, so their tickets arrive already attributed. Created users are passwordless and claimed via portal registration - nobody handles a password.</t>
        </is>
      </c>
      <c r="E11" s="44" t="inlineStr">
        <is>
          <t>users.customer_id; includes/customer_users.php; api/customers/{get_users,link_user,create_user}.php; self-service create_ticket; TicketsService::createTicket</t>
        </is>
      </c>
    </row>
    <row r="12">
      <c r="B12" s="44" t="inlineStr">
        <is>
          <t>14a</t>
        </is>
      </c>
      <c r="C12" s="44" t="inlineStr">
        <is>
          <t>Knowledge KPIs computed</t>
        </is>
      </c>
      <c r="D12" s="44" t="inlineStr">
        <is>
          <t>Articles created plus versions saved in the month by an author of that tier, de-duplicated per article. Playbook coverage stays manual - playbooks are not KB articles.</t>
        </is>
      </c>
      <c r="E12" s="44" t="inlineStr">
        <is>
          <t>includes/kpi_engine.php; kpi_definitions.source_status flipped to Ready in both the seed and the upgrade</t>
        </is>
      </c>
    </row>
    <row r="13">
      <c r="B13" s="44" t="inlineStr">
        <is>
          <t>Export</t>
        </is>
      </c>
      <c r="C13" s="44" t="inlineStr">
        <is>
          <t>BI fact table &amp; bundle export</t>
        </is>
      </c>
      <c r="D13" s="44" t="inlineStr">
        <is>
          <t>40 derived KPI columns on the ticket export, mirroring the KPI engine, plus a zip bundle of related datasets with a manifest.</t>
        </is>
      </c>
      <c r="E13" s="44" t="inlineStr">
        <is>
          <t>includes/data_export.php; api/export/export_bundle.php; docs/powerbi-reporting.md</t>
        </is>
      </c>
    </row>
    <row r="14">
      <c r="B14" s="44" t="inlineStr">
        <is>
          <t>Demo</t>
        </is>
      </c>
      <c r="C14" s="44" t="inlineStr">
        <is>
          <t>Reporting &amp; KPI demo history</t>
        </is>
      </c>
      <c r="D14" s="44" t="inlineStr">
        <is>
          <t>Back-dated instrumented tickets numbered DMO-YYMM-NNNN, scaled to the install's own SLA targets, purgeable.</t>
        </is>
      </c>
      <c r="E14" s="44" t="inlineStr">
        <is>
          <t>includes/demo_reporting.php; api/system/generate_report_demo.php; system/demo-data/</t>
        </is>
      </c>
    </row>
    <row r="15">
      <c r="B15" s="44" t="inlineStr">
        <is>
          <t>Migrate</t>
        </is>
      </c>
      <c r="C15" s="44" t="inlineStr">
        <is>
          <t>Migration from another helpdesk</t>
        </is>
      </c>
      <c r="D15" s="44" t="inlineStr">
        <is>
          <t>Maps a foreign CSV onto our columns then hands it to the existing importer, so there is one writer and one set of rules. Zoho Desk preset; measured aggregates carried over; KPI cutover guard.</t>
        </is>
      </c>
      <c r="E15" s="44" t="inlineStr">
        <is>
          <t>includes/data_migrate.php; includes/migrate_sources.php; system_settings.kpi_cutover_month; docs/migration.md</t>
        </is>
      </c>
    </row>
    <row r="16">
      <c r="B16" s="44" t="inlineStr">
        <is>
          <t>Webhook</t>
        </is>
      </c>
      <c r="C16" s="44" t="inlineStr">
        <is>
          <t>Inbound webhooks</t>
        </is>
      </c>
      <c r="D16" s="44" t="inlineStr">
        <is>
          <t>Other systems raise tickets by POSTing to a signed endpoint, with correlation on the sender's own reference. Per-source rate limiting and delivery replay are NOT built.</t>
        </is>
      </c>
      <c r="E16" s="44" t="inlineStr">
        <is>
          <t>api/inbound/webhook.php; includes/inbound_webhook.php; system/inbound-webhooks/; docs/inbound-webhooks.md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2" customWidth="1" min="1" max="1"/>
    <col width="90" customWidth="1" min="2" max="2"/>
  </cols>
  <sheetData>
    <row r="2">
      <c r="B2" s="40" t="inlineStr">
        <is>
          <t>Deferred / not built - do NOT test (no code exists)</t>
        </is>
      </c>
    </row>
    <row r="4">
      <c r="B4" s="46" t="inlineStr">
        <is>
          <t>10c - SAML SSO</t>
        </is>
      </c>
    </row>
    <row r="5">
      <c r="B5" s="46" t="inlineStr">
        <is>
          <t>10d - Native Slack/Teams/SMS notification channels</t>
        </is>
      </c>
    </row>
    <row r="6">
      <c r="B6" s="46" t="inlineStr">
        <is>
          <t>11c - Overtime &lt;-&gt; on-call rota cross-check</t>
        </is>
      </c>
    </row>
    <row r="7">
      <c r="B7" s="46" t="inlineStr">
        <is>
          <t>11e - TOIL (time off in lieu) balances</t>
        </is>
      </c>
    </row>
    <row r="8">
      <c r="B8" s="46" t="inlineStr">
        <is>
          <t>Follow-up: per-tenant overtime settings</t>
        </is>
      </c>
    </row>
    <row r="9">
      <c r="B9" s="46" t="inlineStr">
        <is>
          <t>Change freeze: no department scoping - a change carries no department, only a requester and an assignee</t>
        </is>
      </c>
    </row>
    <row r="10">
      <c r="B10" s="46" t="inlineStr">
        <is>
          <t>KPI: metrics that need external SIEM / estate feeds stay manual or CSV-import (no integration built)</t>
        </is>
      </c>
    </row>
    <row r="11">
      <c r="B11" s="46" t="inlineStr">
        <is>
          <t>KPI: NOC/SOC stream and QA metrics only populate once analysts set stream / record QA on tickets</t>
        </is>
      </c>
    </row>
    <row r="12">
      <c r="B12" s="46" t="inlineStr">
        <is>
          <t>Customers: no per-company scoping of the customer list (shared by design, like CMDB and contracts)</t>
        </is>
      </c>
    </row>
    <row r="13">
      <c r="B13" s="46" t="n"/>
    </row>
    <row r="14">
      <c r="B14" s="4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2026-07-22T14:35:08Z</dcterms:created>
  <dcterms:modified xsi:type="dcterms:W3CDTF">2026-07-26T09:48:27Z</dcterms:modified>
</cp:coreProperties>
</file>